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26bdce7cc69116c6/PROJECTS/pradeepa/"/>
    </mc:Choice>
  </mc:AlternateContent>
  <xr:revisionPtr revIDLastSave="731" documentId="11_AB4A7ED39B312D3178256FB9651BC211512E329A" xr6:coauthVersionLast="47" xr6:coauthVersionMax="47" xr10:uidLastSave="{3AD65E01-D82A-4AA1-AE29-9C011232F772}"/>
  <bookViews>
    <workbookView xWindow="-108" yWindow="-108" windowWidth="23256" windowHeight="12456" activeTab="2" xr2:uid="{00000000-000D-0000-FFFF-FFFF00000000}"/>
  </bookViews>
  <sheets>
    <sheet name="Pivot Table" sheetId="3" r:id="rId1"/>
    <sheet name="DataSet" sheetId="1" r:id="rId2"/>
    <sheet name="Dashboard" sheetId="2" r:id="rId3"/>
  </sheets>
  <definedNames>
    <definedName name="_xlchart.v2.0" hidden="1">'Pivot Table'!$A$2:$A$4</definedName>
    <definedName name="_xlchart.v2.1" hidden="1">'Pivot Table'!$B$1</definedName>
    <definedName name="_xlchart.v2.2" hidden="1">'Pivot Table'!$B$2:$B$4</definedName>
    <definedName name="_xlchart.v2.3" hidden="1">'Pivot Table'!$A$2:$A$4</definedName>
    <definedName name="_xlchart.v2.4" hidden="1">'Pivot Table'!$B$1</definedName>
    <definedName name="_xlchart.v2.5" hidden="1">'Pivot Table'!$B$2:$B$4</definedName>
    <definedName name="_xlchart.v2.6" hidden="1">'Pivot Table'!$A$2:$A$4</definedName>
    <definedName name="_xlchart.v2.7" hidden="1">'Pivot Table'!$B$1</definedName>
    <definedName name="_xlchart.v2.8" hidden="1">'Pivot Table'!$B$2:$B$4</definedName>
    <definedName name="NativeTimeline_Date">#N/A</definedName>
    <definedName name="Slicer_Channel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B3" i="3"/>
  <c r="B4"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alcChain>
</file>

<file path=xl/sharedStrings.xml><?xml version="1.0" encoding="utf-8"?>
<sst xmlns="http://schemas.openxmlformats.org/spreadsheetml/2006/main" count="1554" uniqueCount="537">
  <si>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</si>
  <si>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</si>
  <si>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</si>
  <si>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</si>
  <si>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</si>
  <si>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</si>
  <si>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</si>
  <si>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</si>
  <si>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</si>
  <si>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</si>
  <si>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</si>
  <si>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</si>
  <si>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</si>
  <si>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</si>
  <si>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</si>
  <si>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</si>
  <si>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</si>
  <si>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</si>
  <si>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</si>
  <si>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</si>
  <si>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</si>
  <si>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</si>
  <si>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</si>
  <si>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</si>
  <si>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</si>
  <si>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</si>
  <si>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</si>
  <si>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</si>
  <si>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</si>
  <si>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</si>
  <si>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</si>
  <si>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</si>
  <si>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</si>
  <si>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</si>
  <si>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</si>
  <si>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</si>
  <si>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</si>
  <si>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</si>
  <si>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</si>
  <si>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</si>
  <si>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</si>
  <si>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</si>
  <si>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</si>
  <si>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</si>
  <si>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</si>
  <si>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</si>
  <si>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</si>
  <si>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</si>
  <si>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</si>
  <si>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</si>
  <si>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</si>
  <si>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</si>
  <si>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</si>
  <si>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</si>
  <si>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</si>
  <si>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</si>
  <si>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</si>
  <si>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</si>
  <si>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</si>
  <si>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</si>
  <si>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</si>
  <si>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</si>
  <si>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</si>
  <si>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</si>
  <si>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</si>
  <si>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</si>
  <si>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</si>
  <si>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</si>
  <si>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</si>
  <si>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</si>
  <si>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</si>
  <si>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</si>
  <si>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</si>
  <si>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</si>
  <si>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</si>
  <si>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</si>
  <si>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</si>
  <si>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</si>
  <si>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</si>
  <si>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</si>
  <si>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</si>
  <si>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</si>
  <si>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</si>
  <si>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</si>
  <si>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</si>
  <si>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</si>
  <si>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</si>
  <si>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</si>
  <si>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</si>
  <si>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</si>
  <si>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</si>
  <si>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</si>
  <si>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</si>
  <si>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</si>
  <si>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</si>
  <si>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</si>
  <si>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</si>
  <si>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</si>
  <si>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</si>
  <si>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</si>
  <si>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</si>
  <si>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</si>
  <si>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</si>
  <si>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</si>
  <si>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</si>
  <si>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</si>
  <si>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</si>
  <si>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</si>
  <si>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</si>
  <si>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</si>
  <si>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</si>
  <si>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</si>
  <si>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</si>
  <si>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</si>
  <si>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</si>
  <si>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</si>
  <si>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</si>
  <si>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</si>
  <si>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</si>
  <si>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</si>
  <si>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</si>
  <si>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</si>
  <si>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</si>
  <si>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</si>
  <si>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</si>
  <si>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</si>
  <si>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</si>
  <si>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</si>
  <si>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</si>
  <si>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</si>
  <si>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</si>
  <si>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</si>
  <si>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</si>
  <si>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</si>
  <si>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</si>
  <si>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</si>
  <si>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</si>
  <si>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</si>
  <si>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</si>
  <si>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</si>
  <si>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</si>
  <si>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</si>
  <si>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</si>
  <si>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</si>
  <si>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</si>
  <si>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</si>
  <si>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</si>
  <si>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</si>
  <si>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</si>
  <si>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</si>
  <si>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</si>
  <si>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</si>
  <si>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</si>
  <si>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</si>
  <si>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</si>
  <si>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</si>
  <si>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</si>
  <si>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</si>
  <si>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</si>
  <si>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</si>
  <si>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</si>
  <si>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</si>
  <si>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</si>
  <si>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</si>
  <si>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</si>
  <si>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</si>
  <si>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</si>
  <si>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</si>
  <si>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</si>
  <si>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</si>
  <si>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</si>
  <si>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</si>
  <si>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</si>
  <si>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</si>
  <si>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</si>
  <si>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</si>
  <si>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</si>
  <si>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</si>
  <si>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</si>
  <si>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</si>
  <si>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</si>
  <si>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</si>
  <si>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</si>
  <si>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</si>
  <si>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</si>
  <si>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</si>
  <si>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</si>
  <si>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</si>
  <si>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</si>
  <si>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</si>
  <si>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</si>
  <si>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</si>
  <si>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</si>
  <si>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</si>
  <si>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</si>
  <si>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</si>
  <si>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</si>
  <si>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</si>
  <si>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</si>
  <si>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</si>
  <si>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</si>
  <si>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</si>
  <si>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</si>
  <si>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</si>
  <si>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</si>
  <si>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</si>
  <si>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</si>
  <si>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</si>
  <si>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</si>
  <si>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</si>
  <si>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</si>
  <si>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</si>
  <si>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</si>
  <si>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</si>
  <si>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</si>
  <si>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</si>
  <si>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</si>
  <si>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</si>
  <si>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</si>
  <si>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</si>
  <si>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</si>
  <si>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</si>
  <si>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</si>
  <si>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</si>
  <si>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</si>
  <si>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</si>
  <si>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</si>
  <si>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</si>
  <si>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</si>
  <si>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</si>
  <si>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</si>
  <si>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</si>
  <si>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</si>
  <si>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</si>
  <si>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</si>
  <si>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</si>
  <si>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</si>
  <si>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</si>
  <si>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</si>
  <si>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</si>
  <si>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</si>
  <si>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</si>
  <si>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</si>
  <si>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</si>
  <si>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</si>
  <si>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</si>
  <si>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</si>
  <si>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</si>
  <si>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</si>
  <si>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</si>
  <si>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</si>
  <si>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</si>
  <si>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</si>
  <si>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</si>
  <si>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</si>
  <si>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</si>
  <si>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</si>
  <si>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</si>
  <si>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</si>
  <si>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</si>
  <si>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</si>
  <si>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</si>
  <si>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</si>
  <si>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</si>
  <si>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</si>
  <si>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</si>
  <si>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</si>
  <si>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</si>
  <si>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</si>
  <si>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</si>
  <si>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</si>
  <si>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</si>
  <si>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</si>
  <si>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</si>
  <si>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</si>
  <si>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</si>
  <si>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</si>
  <si>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</si>
  <si>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</si>
  <si>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</si>
  <si>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</si>
  <si>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</si>
  <si>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</si>
  <si>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</si>
  <si>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</si>
  <si>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</si>
  <si>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</si>
  <si>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</si>
  <si>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</si>
  <si>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</si>
  <si>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</si>
  <si>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</si>
  <si>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</si>
  <si>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</si>
  <si>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</si>
  <si>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</si>
  <si>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</si>
  <si>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</si>
  <si>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</si>
  <si>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</si>
  <si>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</si>
  <si>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</si>
  <si>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</si>
  <si>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</si>
  <si>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</si>
  <si>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</si>
  <si>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</si>
  <si>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</si>
  <si>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</si>
  <si>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</si>
  <si>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</si>
  <si>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</si>
  <si>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</si>
  <si>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</si>
  <si>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</si>
  <si>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</si>
  <si>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</si>
  <si>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</si>
  <si>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</si>
  <si>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</si>
  <si>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</si>
  <si>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</si>
  <si>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</si>
  <si>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</si>
  <si>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</si>
  <si>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</si>
  <si>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</si>
  <si>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</si>
  <si>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</si>
  <si>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</si>
  <si>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</si>
  <si>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</si>
  <si>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</si>
  <si>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</si>
  <si>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</si>
  <si>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</si>
  <si>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</si>
  <si>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</si>
  <si>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</si>
  <si>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</si>
  <si>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</si>
  <si>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</si>
  <si>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</si>
  <si>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</si>
  <si>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</si>
  <si>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</si>
  <si>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</si>
  <si>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</si>
  <si>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</si>
  <si>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</si>
  <si>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</si>
  <si>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</si>
  <si>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</si>
  <si>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</si>
  <si>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</si>
  <si>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</si>
  <si>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</si>
  <si>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</si>
  <si>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</si>
  <si>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</si>
  <si>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</si>
  <si>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</si>
  <si>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</si>
  <si>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</si>
  <si>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</si>
  <si>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</si>
  <si>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</si>
  <si>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</si>
  <si>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</si>
  <si>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</si>
  <si>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</si>
  <si>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</si>
  <si>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</si>
  <si>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</si>
  <si>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</si>
  <si>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</si>
  <si>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</si>
  <si>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</si>
  <si>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</si>
  <si>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</si>
  <si>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</si>
  <si>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</si>
  <si>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</si>
  <si>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</si>
  <si>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</si>
  <si>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</si>
  <si>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</si>
  <si>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</si>
  <si>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</si>
  <si>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</si>
  <si>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</si>
  <si>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</si>
  <si>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</si>
  <si>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</si>
  <si>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</si>
  <si>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</si>
  <si>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</si>
  <si>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</si>
  <si>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</si>
  <si>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</si>
  <si>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</si>
  <si>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</si>
  <si>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</si>
  <si>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</si>
  <si>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</si>
  <si>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</si>
  <si>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</si>
  <si>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</si>
  <si>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</si>
  <si>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</si>
  <si>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</si>
  <si>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</si>
  <si>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</si>
  <si>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</si>
  <si>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</si>
  <si>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</si>
  <si>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</si>
  <si>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</si>
  <si>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</si>
  <si>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</si>
  <si>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</si>
  <si>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</si>
  <si>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</si>
  <si>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</si>
  <si>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</si>
  <si>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</si>
  <si>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</si>
  <si>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</si>
  <si>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</si>
  <si>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</si>
  <si>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</si>
  <si>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</si>
  <si>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</si>
  <si>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</si>
  <si>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</si>
  <si>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</si>
  <si>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</si>
  <si>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</si>
  <si>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</si>
  <si>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</si>
  <si>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</si>
  <si>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</si>
  <si>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</si>
  <si>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</si>
  <si>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</si>
  <si>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</si>
  <si>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</si>
  <si>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</si>
  <si>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</si>
  <si>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</si>
  <si>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</si>
  <si>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</si>
  <si>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</si>
  <si>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</si>
  <si>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</si>
  <si>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</si>
  <si>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</si>
  <si>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</si>
  <si>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</si>
  <si>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</si>
  <si>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</si>
  <si>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</si>
  <si>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</si>
  <si>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</si>
  <si>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</si>
  <si>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</si>
  <si>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</si>
  <si>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</si>
  <si>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</si>
  <si>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</si>
  <si>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</si>
  <si>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</si>
  <si>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</si>
  <si>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</si>
  <si>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</si>
  <si>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</si>
  <si>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</si>
  <si>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</si>
  <si>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</si>
  <si>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</si>
  <si>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</si>
  <si>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</si>
  <si>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</si>
  <si>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</si>
  <si>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</si>
  <si>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</si>
  <si>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</si>
  <si>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</si>
  <si>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</si>
  <si>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</si>
  <si>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</si>
  <si>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</si>
  <si>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</si>
  <si>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</si>
  <si>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</si>
  <si>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</si>
  <si>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</si>
  <si>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</si>
  <si>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</si>
  <si>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</si>
  <si>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</si>
  <si>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</si>
  <si>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</si>
  <si>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</si>
  <si>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</si>
  <si>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</si>
  <si>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</si>
  <si>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</si>
  <si>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</si>
  <si>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</si>
  <si>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</si>
  <si>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</si>
  <si>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</si>
  <si>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</si>
  <si>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</si>
  <si>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</si>
  <si>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</si>
  <si>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</si>
  <si>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</si>
  <si>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CTR</t>
  </si>
  <si>
    <t>CPC</t>
  </si>
  <si>
    <t>CPA</t>
  </si>
  <si>
    <t>ROAS</t>
  </si>
  <si>
    <t>Profit</t>
  </si>
  <si>
    <t>Profit Margin %</t>
  </si>
  <si>
    <t>Year-Month</t>
  </si>
  <si>
    <t>Row Labels</t>
  </si>
  <si>
    <t>Grand Total</t>
  </si>
  <si>
    <t>2024</t>
  </si>
  <si>
    <t>2025</t>
  </si>
  <si>
    <t>Sum of Spend ($)</t>
  </si>
  <si>
    <t>Sum of Revenue ($)</t>
  </si>
  <si>
    <t>Sum of Conversions</t>
  </si>
  <si>
    <t>State</t>
  </si>
  <si>
    <t>Total</t>
  </si>
  <si>
    <t>CAMPAIGN PERFORMANCE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</si>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</sst>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sz val="30"/>
      <color theme="1"/>
      <name val="Times New Roman"/>
      <family val="1"/>
    </font>
    <font>
      <b/>
      <sz val="30"/>
      <color theme="1"/>
      <name val="Times New Roman"/>
      <family val="1"/>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Alignment="1">
      <alignment horizontal="right"/>
    </xf>
    <xf numFmtId="0" fontId="0" fillId="0" borderId="0" xfId="0" pivotButton="1"/>
    <xf numFmtId="0" fontId="0" fillId="0" borderId="0" xfId="0" applyAlignment="1">
      <alignment horizontal="left"/>
    </xf>
    <xf numFmtId="0" fontId="0" fillId="0" borderId="1" xfId="0" applyBorder="1"/>
    <xf numFmtId="0" fontId="0" fillId="0" borderId="1" xfId="0" applyBorder="1" applyAlignment="1">
      <alignment horizontal="left"/>
    </xf>
    <xf numFmtId="0" fontId="3" fillId="2" borderId="0" xfId="0" applyFont="1" applyFill="1"/>
    <xf numFmtId="0" fontId="0" fillId="2" borderId="0" xfId="0" applyFill="1"/>
    <xf numFmtId="0" fontId="2" fillId="2" borderId="0" xfId="0" applyFont="1"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Table!PivotTable1</c:name>
    <c:fmtId val="2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a:latin typeface="Times New Roman" panose="02020603050405020304" pitchFamily="18" charset="0"/>
                <a:cs typeface="Times New Roman" panose="02020603050405020304" pitchFamily="18" charset="0"/>
              </a:rPr>
              <a:t>Spend Vs Revenue</a:t>
            </a:r>
          </a:p>
        </c:rich>
      </c:tx>
      <c:layout>
        <c:manualLayout>
          <c:xMode val="edge"/>
          <c:yMode val="edge"/>
          <c:x val="0.28145599888956185"/>
          <c:y val="2.18241469816272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6.2465368912219307E-2"/>
          <c:w val="0.52819597550306208"/>
          <c:h val="0.8416746864975212"/>
        </c:manualLayout>
      </c:layout>
      <c:lineChart>
        <c:grouping val="stacked"/>
        <c:varyColors val="0"/>
        <c:ser>
          <c:idx val="0"/>
          <c:order val="0"/>
          <c:tx>
            <c:strRef>
              <c:f>'Pivot Table'!$B$7</c:f>
              <c:strCache>
                <c:ptCount val="1"/>
                <c:pt idx="0">
                  <c:v>Sum of Spend ($)</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Table'!$A$8:$A$10</c:f>
              <c:strCache>
                <c:ptCount val="2"/>
                <c:pt idx="0">
                  <c:v>2024</c:v>
                </c:pt>
                <c:pt idx="1">
                  <c:v>2025</c:v>
                </c:pt>
              </c:strCache>
            </c:strRef>
          </c:cat>
          <c:val>
            <c:numRef>
              <c:f>'Pivot Table'!$B$8:$B$10</c:f>
              <c:numCache>
                <c:formatCode>General</c:formatCode>
                <c:ptCount val="2"/>
                <c:pt idx="0">
                  <c:v>387223.67</c:v>
                </c:pt>
                <c:pt idx="1">
                  <c:v>2745284.5199999991</c:v>
                </c:pt>
              </c:numCache>
            </c:numRef>
          </c:val>
          <c:smooth val="0"/>
          <c:extLst>
            <c:ext xmlns:c16="http://schemas.microsoft.com/office/drawing/2014/chart" uri="{C3380CC4-5D6E-409C-BE32-E72D297353CC}">
              <c16:uniqueId val="{00000000-324A-4EF7-AA1C-E6E79E9B8068}"/>
            </c:ext>
          </c:extLst>
        </c:ser>
        <c:ser>
          <c:idx val="1"/>
          <c:order val="1"/>
          <c:tx>
            <c:strRef>
              <c:f>'Pivot Table'!$C$7</c:f>
              <c:strCache>
                <c:ptCount val="1"/>
                <c:pt idx="0">
                  <c:v>Sum of Revenue ($)</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Table'!$A$8:$A$10</c:f>
              <c:strCache>
                <c:ptCount val="2"/>
                <c:pt idx="0">
                  <c:v>2024</c:v>
                </c:pt>
                <c:pt idx="1">
                  <c:v>2025</c:v>
                </c:pt>
              </c:strCache>
            </c:strRef>
          </c:cat>
          <c:val>
            <c:numRef>
              <c:f>'Pivot Table'!$C$8:$C$10</c:f>
              <c:numCache>
                <c:formatCode>General</c:formatCode>
                <c:ptCount val="2"/>
                <c:pt idx="0">
                  <c:v>669060.35</c:v>
                </c:pt>
                <c:pt idx="1">
                  <c:v>5883887.7299999967</c:v>
                </c:pt>
              </c:numCache>
            </c:numRef>
          </c:val>
          <c:smooth val="0"/>
          <c:extLst>
            <c:ext xmlns:c16="http://schemas.microsoft.com/office/drawing/2014/chart" uri="{C3380CC4-5D6E-409C-BE32-E72D297353CC}">
              <c16:uniqueId val="{00000001-324A-4EF7-AA1C-E6E79E9B8068}"/>
            </c:ext>
          </c:extLst>
        </c:ser>
        <c:dLbls>
          <c:showLegendKey val="0"/>
          <c:showVal val="0"/>
          <c:showCatName val="0"/>
          <c:showSerName val="0"/>
          <c:showPercent val="0"/>
          <c:showBubbleSize val="0"/>
        </c:dLbls>
        <c:marker val="1"/>
        <c:smooth val="0"/>
        <c:axId val="720969664"/>
        <c:axId val="854009072"/>
      </c:lineChart>
      <c:catAx>
        <c:axId val="7209696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4009072"/>
        <c:crosses val="autoZero"/>
        <c:auto val="1"/>
        <c:lblAlgn val="ctr"/>
        <c:lblOffset val="100"/>
        <c:noMultiLvlLbl val="0"/>
      </c:catAx>
      <c:valAx>
        <c:axId val="8540090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09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Channel-wise ROAS</a:t>
            </a:r>
          </a:p>
        </c:rich>
      </c:tx>
      <c:layout>
        <c:manualLayout>
          <c:xMode val="edge"/>
          <c:yMode val="edge"/>
          <c:x val="0.28882126220708904"/>
          <c:y val="3.03951367781155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Table'!$B$15</c:f>
              <c:strCache>
                <c:ptCount val="1"/>
                <c:pt idx="0">
                  <c:v>Sum of Revenue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Table'!$A$16:$A$21</c:f>
              <c:strCache>
                <c:ptCount val="5"/>
                <c:pt idx="0">
                  <c:v>Facebook</c:v>
                </c:pt>
                <c:pt idx="1">
                  <c:v>Google Ads</c:v>
                </c:pt>
                <c:pt idx="2">
                  <c:v>Instagram</c:v>
                </c:pt>
                <c:pt idx="3">
                  <c:v>LinkedIn</c:v>
                </c:pt>
                <c:pt idx="4">
                  <c:v>Twitter</c:v>
                </c:pt>
              </c:strCache>
            </c:strRef>
          </c:cat>
          <c:val>
            <c:numRef>
              <c:f>'Pivot Table'!$B$16:$B$21</c:f>
              <c:numCache>
                <c:formatCode>General</c:formatCode>
                <c:ptCount val="5"/>
                <c:pt idx="0">
                  <c:v>1285904.9300000002</c:v>
                </c:pt>
                <c:pt idx="1">
                  <c:v>1371874.6800000004</c:v>
                </c:pt>
                <c:pt idx="2">
                  <c:v>1413738.0000000002</c:v>
                </c:pt>
                <c:pt idx="3">
                  <c:v>1287791.2199999997</c:v>
                </c:pt>
                <c:pt idx="4">
                  <c:v>1193639.2500000002</c:v>
                </c:pt>
              </c:numCache>
            </c:numRef>
          </c:val>
          <c:extLst>
            <c:ext xmlns:c16="http://schemas.microsoft.com/office/drawing/2014/chart" uri="{C3380CC4-5D6E-409C-BE32-E72D297353CC}">
              <c16:uniqueId val="{00000000-3981-4E20-8391-1E323914A448}"/>
            </c:ext>
          </c:extLst>
        </c:ser>
        <c:ser>
          <c:idx val="1"/>
          <c:order val="1"/>
          <c:tx>
            <c:strRef>
              <c:f>'Pivot Table'!$C$15</c:f>
              <c:strCache>
                <c:ptCount val="1"/>
                <c:pt idx="0">
                  <c:v>Sum of Spend ($)</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Table'!$A$16:$A$21</c:f>
              <c:strCache>
                <c:ptCount val="5"/>
                <c:pt idx="0">
                  <c:v>Facebook</c:v>
                </c:pt>
                <c:pt idx="1">
                  <c:v>Google Ads</c:v>
                </c:pt>
                <c:pt idx="2">
                  <c:v>Instagram</c:v>
                </c:pt>
                <c:pt idx="3">
                  <c:v>LinkedIn</c:v>
                </c:pt>
                <c:pt idx="4">
                  <c:v>Twitter</c:v>
                </c:pt>
              </c:strCache>
            </c:strRef>
          </c:cat>
          <c:val>
            <c:numRef>
              <c:f>'Pivot Table'!$C$16:$C$21</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1-3981-4E20-8391-1E323914A448}"/>
            </c:ext>
          </c:extLst>
        </c:ser>
        <c:dLbls>
          <c:showLegendKey val="0"/>
          <c:showVal val="0"/>
          <c:showCatName val="0"/>
          <c:showSerName val="0"/>
          <c:showPercent val="0"/>
          <c:showBubbleSize val="0"/>
        </c:dLbls>
        <c:gapWidth val="65"/>
        <c:shape val="box"/>
        <c:axId val="840834816"/>
        <c:axId val="853901072"/>
        <c:axId val="0"/>
      </c:bar3DChart>
      <c:catAx>
        <c:axId val="840834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853901072"/>
        <c:crosses val="autoZero"/>
        <c:auto val="1"/>
        <c:lblAlgn val="ctr"/>
        <c:lblOffset val="100"/>
        <c:noMultiLvlLbl val="0"/>
      </c:catAx>
      <c:valAx>
        <c:axId val="853901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0834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tileRect/>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Table!PivotTable5</c:name>
    <c:fmtId val="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latin typeface="Times New Roman" panose="02020603050405020304" pitchFamily="18" charset="0"/>
                <a:cs typeface="Times New Roman" panose="02020603050405020304" pitchFamily="18" charset="0"/>
              </a:rPr>
              <a:t>Region-wise Conversions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3339132722305"/>
          <c:y val="0.22236980478450294"/>
          <c:w val="0.66366634468089258"/>
          <c:h val="0.67270212966050258"/>
        </c:manualLayout>
      </c:layout>
      <c:bar3DChart>
        <c:barDir val="col"/>
        <c:grouping val="standard"/>
        <c:varyColors val="0"/>
        <c:ser>
          <c:idx val="0"/>
          <c:order val="0"/>
          <c:tx>
            <c:strRef>
              <c:f>'Pivot Table'!$G$7</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Table'!$F$8:$F$12</c:f>
              <c:strCache>
                <c:ptCount val="4"/>
                <c:pt idx="0">
                  <c:v>East</c:v>
                </c:pt>
                <c:pt idx="1">
                  <c:v>North</c:v>
                </c:pt>
                <c:pt idx="2">
                  <c:v>South</c:v>
                </c:pt>
                <c:pt idx="3">
                  <c:v>West</c:v>
                </c:pt>
              </c:strCache>
            </c:strRef>
          </c:cat>
          <c:val>
            <c:numRef>
              <c:f>'Pivot Table'!$G$8:$G$12</c:f>
              <c:numCache>
                <c:formatCode>General</c:formatCode>
                <c:ptCount val="4"/>
                <c:pt idx="0">
                  <c:v>41460</c:v>
                </c:pt>
                <c:pt idx="1">
                  <c:v>46771</c:v>
                </c:pt>
                <c:pt idx="2">
                  <c:v>47588</c:v>
                </c:pt>
                <c:pt idx="3">
                  <c:v>48707</c:v>
                </c:pt>
              </c:numCache>
            </c:numRef>
          </c:val>
          <c:extLst>
            <c:ext xmlns:c16="http://schemas.microsoft.com/office/drawing/2014/chart" uri="{C3380CC4-5D6E-409C-BE32-E72D297353CC}">
              <c16:uniqueId val="{00000000-E850-42F8-9EE0-6900A515017A}"/>
            </c:ext>
          </c:extLst>
        </c:ser>
        <c:dLbls>
          <c:showLegendKey val="0"/>
          <c:showVal val="0"/>
          <c:showCatName val="0"/>
          <c:showSerName val="0"/>
          <c:showPercent val="0"/>
          <c:showBubbleSize val="0"/>
        </c:dLbls>
        <c:gapWidth val="65"/>
        <c:shape val="box"/>
        <c:axId val="1098777552"/>
        <c:axId val="1184049552"/>
        <c:axId val="809468384"/>
      </c:bar3DChart>
      <c:catAx>
        <c:axId val="1098777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184049552"/>
        <c:crosses val="autoZero"/>
        <c:auto val="1"/>
        <c:lblAlgn val="ctr"/>
        <c:lblOffset val="100"/>
        <c:noMultiLvlLbl val="0"/>
      </c:catAx>
      <c:valAx>
        <c:axId val="11840495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8777552"/>
        <c:crosses val="autoZero"/>
        <c:crossBetween val="between"/>
      </c:valAx>
      <c:serAx>
        <c:axId val="809468384"/>
        <c:scaling>
          <c:orientation val="minMax"/>
        </c:scaling>
        <c:delete val="1"/>
        <c:axPos val="b"/>
        <c:majorTickMark val="none"/>
        <c:minorTickMark val="none"/>
        <c:tickLblPos val="nextTo"/>
        <c:crossAx val="1184049552"/>
        <c:crosses val="autoZero"/>
      </c:serAx>
      <c:spPr>
        <a:noFill/>
        <a:ln>
          <a:noFill/>
        </a:ln>
        <a:effectLst/>
      </c:spPr>
    </c:plotArea>
    <c:legend>
      <c:legendPos val="r"/>
      <c:layout>
        <c:manualLayout>
          <c:xMode val="edge"/>
          <c:yMode val="edge"/>
          <c:x val="0.81799420063300909"/>
          <c:y val="0.40441917603750016"/>
          <c:w val="0.12886835087793805"/>
          <c:h val="9.518074054927647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tileRect/>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Table!PivotTable6</c:name>
    <c:fmtId val="5"/>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latin typeface="Times New Roman" panose="02020603050405020304" pitchFamily="18" charset="0"/>
                <a:cs typeface="Times New Roman" panose="02020603050405020304" pitchFamily="18" charset="0"/>
              </a:rPr>
              <a:t>Budget Allocation</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3E-2"/>
          <c:y val="0.20985195478016228"/>
          <c:w val="0.76296741032370952"/>
          <c:h val="0.75474518810148727"/>
        </c:manualLayout>
      </c:layout>
      <c:pie3DChart>
        <c:varyColors val="1"/>
        <c:ser>
          <c:idx val="0"/>
          <c:order val="0"/>
          <c:tx>
            <c:strRef>
              <c:f>'Pivot Table'!$G$15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55E-44BA-BCDB-B955B1B90D9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55E-44BA-BCDB-B955B1B90D9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55E-44BA-BCDB-B955B1B90D9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55E-44BA-BCDB-B955B1B90D9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55E-44BA-BCDB-B955B1B90D97}"/>
              </c:ext>
            </c:extLst>
          </c:dPt>
          <c:dLbls>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Table'!$F$16:$F$21</c:f>
              <c:strCache>
                <c:ptCount val="5"/>
                <c:pt idx="0">
                  <c:v>Facebook</c:v>
                </c:pt>
                <c:pt idx="1">
                  <c:v>Google Ads</c:v>
                </c:pt>
                <c:pt idx="2">
                  <c:v>Instagram</c:v>
                </c:pt>
                <c:pt idx="3">
                  <c:v>LinkedIn</c:v>
                </c:pt>
                <c:pt idx="4">
                  <c:v>Twitter</c:v>
                </c:pt>
              </c:strCache>
            </c:strRef>
          </c:cat>
          <c:val>
            <c:numRef>
              <c:f>'Pivot Table'!$G$16:$G$21</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A-C55E-44BA-BCDB-B955B1B90D97}"/>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3921192543239789"/>
          <c:y val="0.28655884926148939"/>
          <c:w val="0.18846723301599133"/>
          <c:h val="0.459562040039112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tileRect/>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Funnel</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rPr>
            <a:t>Funnel</a:t>
          </a:r>
        </a:p>
      </cx:txPr>
      <cx:extLst>
        <cx:ext uri="ext:featex">
          <cx:featureExtension feature="mp" drop="onModelChange">
            <cx:offset top="0.17499999701976776"/>
          </cx:featureExtension>
        </cx:ext>
      </cx:extLst>
    </cx:title>
    <cx:plotArea>
      <cx:plotAreaRegion>
        <cx:series layoutId="funnel" uniqueId="{00000000-390C-4C9D-B245-36BFDB546D1E}">
          <cx:tx>
            <cx:txData>
              <cx:f>_xlchart.v2.7</cx:f>
              <cx:v>Total</cx:v>
            </cx:txData>
          </cx:tx>
          <cx:spPr>
            <a:solidFill>
              <a:schemeClr val="tx2">
                <a:lumMod val="60000"/>
                <a:lumOff val="40000"/>
              </a:schemeClr>
            </a:solidFill>
          </cx:spPr>
          <cx:dataLabels>
            <cx:visibility seriesName="0" categoryName="0" value="1"/>
          </cx:dataLabels>
          <cx:dataId val="0"/>
        </cx:series>
      </cx:plotAreaRegion>
      <cx:axis id="0">
        <cx:catScaling gapWidth="0.150000006"/>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a:endParaRPr>
        </a:p>
      </cx:txPr>
      <cx:extLst>
        <cx:ext uri="ext:featex">
          <cx:featureExtension feature="mp" drop="onModelChange">
            <cx:offset top="-0.058333337306976318" left="1.6416666507720947"/>
          </cx:featureExtension>
        </cx:ext>
      </cx:extLst>
    </cx:legend>
  </cx:chart>
  <cx: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304800</xdr:colOff>
      <xdr:row>13</xdr:row>
      <xdr:rowOff>160020</xdr:rowOff>
    </xdr:from>
    <xdr:to>
      <xdr:col>15</xdr:col>
      <xdr:colOff>60960</xdr:colOff>
      <xdr:row>26</xdr:row>
      <xdr:rowOff>121920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EF972AD-0610-43F1-98B9-5AD4EB92B9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1600" y="3124200"/>
              <a:ext cx="4023360" cy="2339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137160</xdr:colOff>
      <xdr:row>2</xdr:row>
      <xdr:rowOff>83820</xdr:rowOff>
    </xdr:from>
    <xdr:to>
      <xdr:col>5</xdr:col>
      <xdr:colOff>259080</xdr:colOff>
      <xdr:row>12</xdr:row>
      <xdr:rowOff>167640</xdr:rowOff>
    </xdr:to>
    <xdr:graphicFrame macro="">
      <xdr:nvGraphicFramePr>
        <xdr:cNvPr id="5" name="Chart 4">
          <a:extLst>
            <a:ext uri="{FF2B5EF4-FFF2-40B4-BE49-F238E27FC236}">
              <a16:creationId xmlns:a16="http://schemas.microsoft.com/office/drawing/2014/main" id="{FC231FB4-AC0A-4072-A92F-924A4598F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2</xdr:row>
      <xdr:rowOff>83820</xdr:rowOff>
    </xdr:from>
    <xdr:to>
      <xdr:col>11</xdr:col>
      <xdr:colOff>22860</xdr:colOff>
      <xdr:row>13</xdr:row>
      <xdr:rowOff>0</xdr:rowOff>
    </xdr:to>
    <xdr:graphicFrame macro="">
      <xdr:nvGraphicFramePr>
        <xdr:cNvPr id="6" name="Chart 5">
          <a:extLst>
            <a:ext uri="{FF2B5EF4-FFF2-40B4-BE49-F238E27FC236}">
              <a16:creationId xmlns:a16="http://schemas.microsoft.com/office/drawing/2014/main" id="{A85D45B7-6D62-44E4-8117-4389D08B5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160020</xdr:colOff>
      <xdr:row>2</xdr:row>
      <xdr:rowOff>76200</xdr:rowOff>
    </xdr:from>
    <xdr:to>
      <xdr:col>16</xdr:col>
      <xdr:colOff>480060</xdr:colOff>
      <xdr:row>13</xdr:row>
      <xdr:rowOff>30480</xdr:rowOff>
    </xdr:to>
    <xdr:graphicFrame macro="">
      <xdr:nvGraphicFramePr>
        <xdr:cNvPr id="7" name="Chart 6">
          <a:extLst>
            <a:ext uri="{FF2B5EF4-FFF2-40B4-BE49-F238E27FC236}">
              <a16:creationId xmlns:a16="http://schemas.microsoft.com/office/drawing/2014/main" id="{89629771-E6D3-48BE-96FC-3D4F2CCE0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563880</xdr:colOff>
      <xdr:row>13</xdr:row>
      <xdr:rowOff>152400</xdr:rowOff>
    </xdr:from>
    <xdr:to>
      <xdr:col>8</xdr:col>
      <xdr:colOff>160020</xdr:colOff>
      <xdr:row>26</xdr:row>
      <xdr:rowOff>106680</xdr:rowOff>
    </xdr:to>
    <xdr:graphicFrame macro="">
      <xdr:nvGraphicFramePr>
        <xdr:cNvPr id="8" name="Chart 7">
          <a:extLst>
            <a:ext uri="{FF2B5EF4-FFF2-40B4-BE49-F238E27FC236}">
              <a16:creationId xmlns:a16="http://schemas.microsoft.com/office/drawing/2014/main" id="{16D8D3C6-CE66-4322-8D2F-D62E5C651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22860</xdr:colOff>
      <xdr:row>2</xdr:row>
      <xdr:rowOff>76200</xdr:rowOff>
    </xdr:from>
    <xdr:to>
      <xdr:col>19</xdr:col>
      <xdr:colOff>525780</xdr:colOff>
      <xdr:row>10</xdr:row>
      <xdr:rowOff>76200</xdr:rowOff>
    </xdr:to>
    <mc:AlternateContent xmlns:mc="http://schemas.openxmlformats.org/markup-compatibility/2006" xmlns:a14="http://schemas.microsoft.com/office/drawing/2010/main">
      <mc:Choice Requires="a14">
        <xdr:graphicFrame macro="">
          <xdr:nvGraphicFramePr>
            <xdr:cNvPr id="9" name="Channel 1">
              <a:extLst>
                <a:ext uri="{FF2B5EF4-FFF2-40B4-BE49-F238E27FC236}">
                  <a16:creationId xmlns:a16="http://schemas.microsoft.com/office/drawing/2014/main" id="{D788C441-E473-42AA-9734-7B8E15B1CFB9}"/>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463397" y="735842"/>
              <a:ext cx="1731219" cy="1751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2</xdr:row>
      <xdr:rowOff>83820</xdr:rowOff>
    </xdr:from>
    <xdr:to>
      <xdr:col>22</xdr:col>
      <xdr:colOff>434340</xdr:colOff>
      <xdr:row>10</xdr:row>
      <xdr:rowOff>45720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745FB90-9770-467F-8B2B-91F5BAC732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98225" y="743462"/>
              <a:ext cx="1647399" cy="1713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11</xdr:row>
      <xdr:rowOff>152400</xdr:rowOff>
    </xdr:from>
    <xdr:to>
      <xdr:col>22</xdr:col>
      <xdr:colOff>441960</xdr:colOff>
      <xdr:row>19</xdr:row>
      <xdr:rowOff>68580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EABE94BD-3E67-42D9-9DBD-1EC119644BD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09117" y="2745475"/>
              <a:ext cx="3444127" cy="13719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MUSKAN" refreshedDate="46298.021783217591" createdVersion="8" refreshedVersion="8" minRefreshableVersion="3" recordCount="500" xr:uid="{7D925283-125B-4EB9-8D73-2AE6B7E16D8E}">
  <cacheSource type="worksheet">
    <worksheetSource ref="A1:Q501" sheet="DataSet"/>
  </cacheSource>
  <cacheFields count="20">
    <cacheField name="Campaign_ID" numFmtId="0">
      <sharedItems/>
    </cacheField>
    <cacheField name="Date" numFmtId="16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fieldGroup par="19"/>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CTR" numFmtId="0">
      <sharedItems containsSemiMixedTypes="0" containsString="0" containsNumber="1" minValue="5.1806820632361548E-3" maxValue="4.9742595783083106E-2"/>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 name="ROAS" numFmtId="0">
      <sharedItems containsSemiMixedTypes="0" containsString="0" containsNumber="1" minValue="0.15069541045575335" maxValue="18.995706671930517"/>
    </cacheField>
    <cacheField name="Profit" numFmtId="0">
      <sharedItems containsSemiMixedTypes="0" containsString="0" containsNumber="1" minValue="-7983.630000000001" maxValue="63645.05"/>
    </cacheField>
    <cacheField name="Profit Margin %" numFmtId="0">
      <sharedItems containsSemiMixedTypes="0" containsString="0" containsNumber="1" minValue="-563.59021616893665" maxValue="94.735652548911617"/>
    </cacheField>
    <cacheField name="Year-Month" numFmtId="0">
      <sharedItems/>
    </cacheField>
    <cacheField name="Months (Date)" numFmtId="0" databaseField="0">
      <fieldGroup base="1">
        <rangePr groupBy="months" startDate="2024-12-10T00:00:00" endDate="2025-06-11T00:00:00"/>
        <groupItems count="14">
          <s v="&lt;10-12-2024"/>
          <s v="Jan"/>
          <s v="Feb"/>
          <s v="Mar"/>
          <s v="Apr"/>
          <s v="May"/>
          <s v="Jun"/>
          <s v="Jul"/>
          <s v="Aug"/>
          <s v="Sep"/>
          <s v="Oct"/>
          <s v="Nov"/>
          <s v="Dec"/>
          <s v="&gt;11-06-2025"/>
        </groupItems>
      </fieldGroup>
    </cacheField>
    <cacheField name="Quarters (Date)" numFmtId="0" databaseField="0">
      <fieldGroup base="1">
        <rangePr groupBy="quarters" startDate="2024-12-10T00:00:00" endDate="2025-06-11T00:00:00"/>
        <groupItems count="6">
          <s v="&lt;10-12-2024"/>
          <s v="Qtr1"/>
          <s v="Qtr2"/>
          <s v="Qtr3"/>
          <s v="Qtr4"/>
          <s v="&gt;11-06-2025"/>
        </groupItems>
      </fieldGroup>
    </cacheField>
    <cacheField name="Years (Date)" numFmtId="0" databaseField="0">
      <fieldGroup base="1">
        <rangePr groupBy="years" startDate="2024-12-10T00:00:00" endDate="2025-06-11T00:00:00"/>
        <groupItems count="4">
          <s v="&lt;10-12-2024"/>
          <s v="2024"/>
          <s v="2025"/>
          <s v="&gt;11-06-2025"/>
        </groupItems>
      </fieldGroup>
    </cacheField>
  </cacheFields>
  <extLst>
    <ext xmlns:x14="http://schemas.microsoft.com/office/spreadsheetml/2009/9/main" uri="{725AE2AE-9491-48be-B2B4-4EB974FC3084}">
      <x14:pivotCacheDefinition pivotCacheId="92296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x v="0"/>
    <x v="0"/>
    <x v="0"/>
    <n v="5621.78"/>
    <n v="6100.84"/>
    <n v="120704"/>
    <n v="5511"/>
    <n v="1050"/>
    <n v="44057.81"/>
    <n v="4.5657144750795332E-2"/>
    <n v="1.107029577209218"/>
    <n v="5.8103238095238092"/>
    <n v="7.2215973538070166"/>
    <n v="37956.97"/>
    <n v="86.152648077605321"/>
    <s v="2025-05"/>
  </r>
  <r>
    <s v="C0002"/>
    <x v="1"/>
    <x v="1"/>
    <x v="1"/>
    <n v="7190.61"/>
    <n v="6089.05"/>
    <n v="64473"/>
    <n v="1120"/>
    <n v="72"/>
    <n v="1776.95"/>
    <n v="1.7371612923239185E-2"/>
    <n v="5.436651785714286"/>
    <n v="84.570138888888891"/>
    <n v="0.2918271323112801"/>
    <n v="-4312.1000000000004"/>
    <n v="-242.66861757505839"/>
    <s v="2025-01"/>
  </r>
  <r>
    <s v="C0003"/>
    <x v="2"/>
    <x v="1"/>
    <x v="2"/>
    <n v="3406.59"/>
    <n v="3610.48"/>
    <n v="113908"/>
    <n v="5345"/>
    <n v="1004"/>
    <n v="38185.58"/>
    <n v="4.6923833268953892E-2"/>
    <n v="0.67548737137511694"/>
    <n v="3.5960956175298806"/>
    <n v="10.57631672243026"/>
    <n v="34575.1"/>
    <n v="90.544912503620466"/>
    <s v="2025-04"/>
  </r>
  <r>
    <s v="C0004"/>
    <x v="3"/>
    <x v="2"/>
    <x v="3"/>
    <n v="7956.51"/>
    <n v="6414.34"/>
    <n v="91921"/>
    <n v="3787"/>
    <n v="329"/>
    <n v="16153.01"/>
    <n v="4.1198420382719945E-2"/>
    <n v="1.6937787166622658"/>
    <n v="19.49647416413374"/>
    <n v="2.5182653242578348"/>
    <n v="9738.67"/>
    <n v="60.290125493638648"/>
    <s v="2025-05"/>
  </r>
  <r>
    <s v="C0005"/>
    <x v="4"/>
    <x v="3"/>
    <x v="0"/>
    <n v="8827.1"/>
    <n v="7623.98"/>
    <n v="191026"/>
    <n v="8786"/>
    <n v="423"/>
    <n v="10767.36"/>
    <n v="4.5993739072168187E-2"/>
    <n v="0.86774186205326653"/>
    <n v="18.023593380614656"/>
    <n v="1.4123017111797251"/>
    <n v="3143.380000000001"/>
    <n v="29.193599916785551"/>
    <s v="2025-05"/>
  </r>
  <r>
    <s v="C0006"/>
    <x v="5"/>
    <x v="4"/>
    <x v="1"/>
    <n v="4283.83"/>
    <n v="3818.06"/>
    <n v="127588"/>
    <n v="5087"/>
    <n v="842"/>
    <n v="30095.35"/>
    <n v="3.9870520738627457E-2"/>
    <n v="0.75055238844112437"/>
    <n v="4.5345130641330167"/>
    <n v="7.8823669612316198"/>
    <n v="26277.289999999997"/>
    <n v="87.31345540091742"/>
    <s v="2025-04"/>
  </r>
  <r>
    <s v="C0007"/>
    <x v="6"/>
    <x v="2"/>
    <x v="2"/>
    <n v="6023.62"/>
    <n v="5345.17"/>
    <n v="72336"/>
    <n v="1340"/>
    <n v="236"/>
    <n v="9051.92"/>
    <n v="1.8524662685246628E-2"/>
    <n v="3.9889328358208958"/>
    <n v="22.649025423728816"/>
    <n v="1.6934765405029213"/>
    <n v="3706.75"/>
    <n v="40.949875827448764"/>
    <s v="2025-03"/>
  </r>
  <r>
    <s v="C0008"/>
    <x v="7"/>
    <x v="1"/>
    <x v="1"/>
    <n v="3976.46"/>
    <n v="3529.68"/>
    <n v="64153"/>
    <n v="2806"/>
    <n v="283"/>
    <n v="8770.41"/>
    <n v="4.3739186008448554E-2"/>
    <n v="1.2579044903777619"/>
    <n v="12.472367491166077"/>
    <n v="2.4847606581899777"/>
    <n v="5240.7299999999996"/>
    <n v="59.754675095006959"/>
    <s v="2025-04"/>
  </r>
  <r>
    <s v="C0009"/>
    <x v="8"/>
    <x v="2"/>
    <x v="3"/>
    <n v="6192.49"/>
    <n v="6412.65"/>
    <n v="53911"/>
    <n v="2127"/>
    <n v="315"/>
    <n v="8186.92"/>
    <n v="3.9453914785479771E-2"/>
    <n v="3.0148801128349785"/>
    <n v="20.357619047619046"/>
    <n v="1.2766828066400007"/>
    <n v="1774.2700000000004"/>
    <n v="21.672008520908967"/>
    <s v="2025-02"/>
  </r>
  <r>
    <s v="C0010"/>
    <x v="2"/>
    <x v="2"/>
    <x v="1"/>
    <n v="6599.64"/>
    <n v="6452.63"/>
    <n v="185980"/>
    <n v="5168"/>
    <n v="68"/>
    <n v="1454.76"/>
    <n v="2.7787934186471665E-2"/>
    <n v="1.2485739164086687"/>
    <n v="94.891617647058823"/>
    <n v="0.22545225745161274"/>
    <n v="-4997.87"/>
    <n v="-343.55288844895375"/>
    <s v="2025-04"/>
  </r>
  <r>
    <s v="C0011"/>
    <x v="9"/>
    <x v="2"/>
    <x v="2"/>
    <n v="7252.81"/>
    <n v="6173.28"/>
    <n v="195024"/>
    <n v="9701"/>
    <n v="801"/>
    <n v="17583.189999999999"/>
    <n v="4.9742595783083106E-2"/>
    <n v="0.63635501494691271"/>
    <n v="7.7069662921348314"/>
    <n v="2.8482735272010991"/>
    <n v="11409.91"/>
    <n v="64.891012381712315"/>
    <s v="2025-03"/>
  </r>
  <r>
    <s v="C0012"/>
    <x v="10"/>
    <x v="4"/>
    <x v="1"/>
    <n v="9642.2000000000007"/>
    <n v="10507.01"/>
    <n v="54909"/>
    <n v="2182"/>
    <n v="153"/>
    <n v="6770.54"/>
    <n v="3.9738476388205941E-2"/>
    <n v="4.815311640696609"/>
    <n v="68.673267973856213"/>
    <n v="0.64438313088119259"/>
    <n v="-3736.4700000000003"/>
    <n v="-55.187178570690087"/>
    <s v="2025-04"/>
  </r>
  <r>
    <s v="C0013"/>
    <x v="11"/>
    <x v="3"/>
    <x v="3"/>
    <n v="5132.3"/>
    <n v="4256.22"/>
    <n v="69520"/>
    <n v="1141"/>
    <n v="134"/>
    <n v="5430.62"/>
    <n v="1.6412543153049481E-2"/>
    <n v="3.7302541630148993"/>
    <n v="31.762835820895525"/>
    <n v="1.2759255865533266"/>
    <n v="1174.3999999999996"/>
    <n v="21.625523420898528"/>
    <s v="2025-05"/>
  </r>
  <r>
    <s v="C0014"/>
    <x v="12"/>
    <x v="3"/>
    <x v="0"/>
    <n v="6081.07"/>
    <n v="5087.49"/>
    <n v="126413"/>
    <n v="3059"/>
    <n v="58"/>
    <n v="2021.61"/>
    <n v="2.4198460601362201E-2"/>
    <n v="1.6631219352729649"/>
    <n v="87.715344827586208"/>
    <n v="0.39736884003703199"/>
    <n v="-3065.88"/>
    <n v="-151.65536379420362"/>
    <s v="2025-01"/>
  </r>
  <r>
    <s v="C0015"/>
    <x v="13"/>
    <x v="0"/>
    <x v="0"/>
    <n v="3240.72"/>
    <n v="3476.63"/>
    <n v="76429"/>
    <n v="2090"/>
    <n v="69"/>
    <n v="1915.67"/>
    <n v="2.734564105248008E-2"/>
    <n v="1.6634593301435407"/>
    <n v="50.385942028985511"/>
    <n v="0.55101348144611306"/>
    <n v="-1560.96"/>
    <n v="-81.483762861035558"/>
    <s v="2024-12"/>
  </r>
  <r>
    <s v="C0016"/>
    <x v="14"/>
    <x v="0"/>
    <x v="3"/>
    <n v="7637.66"/>
    <n v="6824.35"/>
    <n v="59367"/>
    <n v="1348"/>
    <n v="152"/>
    <n v="5411.51"/>
    <n v="2.2706217258746442E-2"/>
    <n v="5.0625741839762615"/>
    <n v="44.89703947368421"/>
    <n v="0.79297075911991621"/>
    <n v="-1412.8400000000001"/>
    <n v="-26.108054868234561"/>
    <s v="2025-02"/>
  </r>
  <r>
    <s v="C0017"/>
    <x v="15"/>
    <x v="1"/>
    <x v="3"/>
    <n v="6826.97"/>
    <n v="5840.17"/>
    <n v="186370"/>
    <n v="9073"/>
    <n v="1366"/>
    <n v="67053.58"/>
    <n v="4.8682727906851964E-2"/>
    <n v="0.64368676292295823"/>
    <n v="4.2753806734992681"/>
    <n v="11.481443177167789"/>
    <n v="61213.41"/>
    <n v="91.2902935234778"/>
    <s v="2025-03"/>
  </r>
  <r>
    <s v="C0018"/>
    <x v="4"/>
    <x v="4"/>
    <x v="3"/>
    <n v="8425.93"/>
    <n v="9115.59"/>
    <n v="177209"/>
    <n v="2628"/>
    <n v="342"/>
    <n v="16020.93"/>
    <n v="1.4829946560276284E-2"/>
    <n v="3.4686415525114156"/>
    <n v="26.653771929824561"/>
    <n v="1.7575307796862298"/>
    <n v="6905.34"/>
    <n v="43.101992206444947"/>
    <s v="2025-05"/>
  </r>
  <r>
    <s v="C0019"/>
    <x v="16"/>
    <x v="0"/>
    <x v="1"/>
    <n v="7185.3"/>
    <n v="7735.42"/>
    <n v="113245"/>
    <n v="4048"/>
    <n v="620"/>
    <n v="14045.96"/>
    <n v="3.5745507527926178E-2"/>
    <n v="1.9109239130434783"/>
    <n v="12.476483870967742"/>
    <n v="1.8157979786488645"/>
    <n v="6310.5399999999991"/>
    <n v="44.927794184235175"/>
    <s v="2025-05"/>
  </r>
  <r>
    <s v="C0020"/>
    <x v="17"/>
    <x v="0"/>
    <x v="2"/>
    <n v="4371.88"/>
    <n v="3556.82"/>
    <n v="134800"/>
    <n v="4917"/>
    <n v="128"/>
    <n v="3809.27"/>
    <n v="3.6476261127596436E-2"/>
    <n v="0.72337197478137083"/>
    <n v="27.787656250000001"/>
    <n v="1.0709763215456503"/>
    <n v="252.44999999999982"/>
    <n v="6.6272540408004632"/>
    <s v="2025-01"/>
  </r>
  <r>
    <s v="C0021"/>
    <x v="18"/>
    <x v="0"/>
    <x v="0"/>
    <n v="5720.74"/>
    <n v="5042.29"/>
    <n v="128160"/>
    <n v="1491"/>
    <n v="279"/>
    <n v="12516.53"/>
    <n v="1.1633895131086142E-2"/>
    <n v="3.381817572099262"/>
    <n v="18.072724014336917"/>
    <n v="2.4823106168030797"/>
    <n v="7474.2400000000007"/>
    <n v="59.714952946223917"/>
    <s v="2025-06"/>
  </r>
  <r>
    <s v="C0022"/>
    <x v="19"/>
    <x v="4"/>
    <x v="3"/>
    <n v="5497.27"/>
    <n v="4861.13"/>
    <n v="156949"/>
    <n v="1762"/>
    <n v="304"/>
    <n v="11029.39"/>
    <n v="1.1226576786089749E-2"/>
    <n v="2.7588706015891034"/>
    <n v="15.990559210526316"/>
    <n v="2.2688942694394099"/>
    <n v="6168.2599999999993"/>
    <n v="55.925667693317585"/>
    <s v="2025-05"/>
  </r>
  <r>
    <s v="C0023"/>
    <x v="20"/>
    <x v="1"/>
    <x v="3"/>
    <n v="3986.47"/>
    <n v="4148.5600000000004"/>
    <n v="138676"/>
    <n v="4683"/>
    <n v="91"/>
    <n v="2023.52"/>
    <n v="3.3769361677579393E-2"/>
    <n v="0.88587657484518478"/>
    <n v="45.588571428571434"/>
    <n v="0.48776442910311041"/>
    <n v="-2125.0400000000004"/>
    <n v="-105.01700007907016"/>
    <s v="2025-06"/>
  </r>
  <r>
    <s v="C0024"/>
    <x v="21"/>
    <x v="4"/>
    <x v="1"/>
    <n v="9908.2099999999991"/>
    <n v="10222.040000000001"/>
    <n v="133918"/>
    <n v="4771"/>
    <n v="266"/>
    <n v="6905.75"/>
    <n v="3.5626278767604054E-2"/>
    <n v="2.1425361559421505"/>
    <n v="38.428721804511284"/>
    <n v="0.67557454285054641"/>
    <n v="-3316.2900000000009"/>
    <n v="-48.022155450168356"/>
    <s v="2025-04"/>
  </r>
  <r>
    <s v="C0025"/>
    <x v="22"/>
    <x v="2"/>
    <x v="0"/>
    <n v="3038.65"/>
    <n v="3174.29"/>
    <n v="116892"/>
    <n v="1613"/>
    <n v="73"/>
    <n v="3008.02"/>
    <n v="1.3799062382370051E-2"/>
    <n v="1.9679417234965901"/>
    <n v="43.483424657534243"/>
    <n v="0.94761978269156255"/>
    <n v="-166.26999999999998"/>
    <n v="-5.5275563327371486"/>
    <s v="2025-02"/>
  </r>
  <r>
    <s v="C0026"/>
    <x v="23"/>
    <x v="1"/>
    <x v="3"/>
    <n v="8103.05"/>
    <n v="8357.33"/>
    <n v="187598"/>
    <n v="7514"/>
    <n v="1465"/>
    <n v="32554.26"/>
    <n v="4.005373191611851E-2"/>
    <n v="1.112234495608198"/>
    <n v="5.7046621160409554"/>
    <n v="3.8952943105034739"/>
    <n v="24196.93"/>
    <n v="74.327998854834973"/>
    <s v="2025-04"/>
  </r>
  <r>
    <s v="C0027"/>
    <x v="24"/>
    <x v="3"/>
    <x v="3"/>
    <n v="5509.26"/>
    <n v="4598.91"/>
    <n v="145792"/>
    <n v="2973"/>
    <n v="495"/>
    <n v="22717.09"/>
    <n v="2.0392065408252853E-2"/>
    <n v="1.5468920282542886"/>
    <n v="9.2907272727272723"/>
    <n v="4.9396683127088812"/>
    <n v="18118.18"/>
    <n v="79.755725755367436"/>
    <s v="2025-03"/>
  </r>
  <r>
    <s v="C0028"/>
    <x v="25"/>
    <x v="1"/>
    <x v="0"/>
    <n v="7363.09"/>
    <n v="6621.4"/>
    <n v="144942"/>
    <n v="5511"/>
    <n v="222"/>
    <n v="4863.3"/>
    <n v="3.8022105393881692E-2"/>
    <n v="1.2014879332244601"/>
    <n v="29.826126126126123"/>
    <n v="0.73448213368773985"/>
    <n v="-1758.0999999999995"/>
    <n v="-36.150350584993717"/>
    <s v="2025-06"/>
  </r>
  <r>
    <s v="C0029"/>
    <x v="25"/>
    <x v="3"/>
    <x v="3"/>
    <n v="5176.88"/>
    <n v="4646.53"/>
    <n v="81620"/>
    <n v="3629"/>
    <n v="513"/>
    <n v="21488.639999999999"/>
    <n v="4.4462141631952952E-2"/>
    <n v="1.2803885367869936"/>
    <n v="9.0575633528265094"/>
    <n v="4.624663996573787"/>
    <n v="16842.11"/>
    <n v="78.376807466642845"/>
    <s v="2025-06"/>
  </r>
  <r>
    <s v="C0030"/>
    <x v="26"/>
    <x v="0"/>
    <x v="1"/>
    <n v="7462.9"/>
    <n v="7956.67"/>
    <n v="73683"/>
    <n v="2259"/>
    <n v="324"/>
    <n v="11069.93"/>
    <n v="3.0658360815927689E-2"/>
    <n v="3.5222089420097387"/>
    <n v="24.557623456790125"/>
    <n v="1.3912767527118757"/>
    <n v="3113.26"/>
    <n v="28.123574403812849"/>
    <s v="2025-01"/>
  </r>
  <r>
    <s v="C0031"/>
    <x v="27"/>
    <x v="0"/>
    <x v="2"/>
    <n v="3837.16"/>
    <n v="3890.78"/>
    <n v="69783"/>
    <n v="2886"/>
    <n v="227"/>
    <n v="9720.9500000000007"/>
    <n v="4.1356777438631184E-2"/>
    <n v="1.3481566181566182"/>
    <n v="17.14"/>
    <n v="2.4984578927618628"/>
    <n v="5830.17"/>
    <n v="59.975311054989476"/>
    <s v="2025-04"/>
  </r>
  <r>
    <s v="C0032"/>
    <x v="28"/>
    <x v="3"/>
    <x v="1"/>
    <n v="6928.94"/>
    <n v="7145.75"/>
    <n v="154773"/>
    <n v="2350"/>
    <n v="389"/>
    <n v="13542.59"/>
    <n v="1.5183526842537135E-2"/>
    <n v="3.0407446808510636"/>
    <n v="18.369537275064268"/>
    <n v="1.8951950460063673"/>
    <n v="6396.84"/>
    <n v="47.234982377816948"/>
    <s v="2025-05"/>
  </r>
  <r>
    <s v="C0033"/>
    <x v="29"/>
    <x v="4"/>
    <x v="0"/>
    <n v="6659.13"/>
    <n v="6181.42"/>
    <n v="69731"/>
    <n v="2872"/>
    <n v="455"/>
    <n v="9446.9699999999993"/>
    <n v="4.1186846596205418E-2"/>
    <n v="2.1523050139275766"/>
    <n v="13.585538461538462"/>
    <n v="1.5282847630479726"/>
    <n v="3265.5499999999993"/>
    <n v="34.567168097284096"/>
    <s v="2025-02"/>
  </r>
  <r>
    <s v="C0034"/>
    <x v="8"/>
    <x v="3"/>
    <x v="1"/>
    <n v="3755.24"/>
    <n v="3039.6"/>
    <n v="188839"/>
    <n v="7836"/>
    <n v="1477"/>
    <n v="57739.35"/>
    <n v="4.1495665619919617E-2"/>
    <n v="0.38790199081163856"/>
    <n v="2.0579553148273528"/>
    <n v="18.995706671930517"/>
    <n v="54699.75"/>
    <n v="94.735652548911617"/>
    <s v="2025-02"/>
  </r>
  <r>
    <s v="C0035"/>
    <x v="30"/>
    <x v="2"/>
    <x v="2"/>
    <n v="5200.49"/>
    <n v="4953.84"/>
    <n v="146830"/>
    <n v="6778"/>
    <n v="787"/>
    <n v="37167.64"/>
    <n v="4.6162228427433089E-2"/>
    <n v="0.73087046326349958"/>
    <n v="6.2945870393900893"/>
    <n v="7.5027937922904249"/>
    <n v="32213.8"/>
    <n v="86.671631559065901"/>
    <s v="2024-12"/>
  </r>
  <r>
    <s v="C0036"/>
    <x v="31"/>
    <x v="4"/>
    <x v="0"/>
    <n v="4745.05"/>
    <n v="4380.2299999999996"/>
    <n v="114426"/>
    <n v="4726"/>
    <n v="77"/>
    <n v="3285.32"/>
    <n v="4.130180203799836E-2"/>
    <n v="0.92683664832839596"/>
    <n v="56.88610389610389"/>
    <n v="0.75003367403081589"/>
    <n v="-1094.9099999999994"/>
    <n v="-33.327347107739861"/>
    <s v="2025-04"/>
  </r>
  <r>
    <s v="C0037"/>
    <x v="32"/>
    <x v="1"/>
    <x v="2"/>
    <n v="4601.59"/>
    <n v="3787.54"/>
    <n v="78896"/>
    <n v="1812"/>
    <n v="219"/>
    <n v="6283.67"/>
    <n v="2.2966943824781993E-2"/>
    <n v="2.0902538631346577"/>
    <n v="17.294703196347033"/>
    <n v="1.6590372642929183"/>
    <n v="2496.13"/>
    <n v="39.724078444603236"/>
    <s v="2025-02"/>
  </r>
  <r>
    <s v="C0038"/>
    <x v="33"/>
    <x v="2"/>
    <x v="3"/>
    <n v="4128.55"/>
    <n v="4454.33"/>
    <n v="114833"/>
    <n v="5099"/>
    <n v="70"/>
    <n v="3097.05"/>
    <n v="4.4403612202067351E-2"/>
    <n v="0.87356932731908221"/>
    <n v="63.633285714285712"/>
    <n v="0.69528975176962649"/>
    <n v="-1357.2799999999997"/>
    <n v="-43.82493017548957"/>
    <s v="2025-04"/>
  </r>
  <r>
    <s v="C0039"/>
    <x v="34"/>
    <x v="1"/>
    <x v="2"/>
    <n v="7433.83"/>
    <n v="7890.55"/>
    <n v="86560"/>
    <n v="3682"/>
    <n v="609"/>
    <n v="26863.09"/>
    <n v="4.2536968576709799E-2"/>
    <n v="2.1430065181966325"/>
    <n v="12.95656814449918"/>
    <n v="3.4044635671784604"/>
    <n v="18972.54"/>
    <n v="70.626796842805504"/>
    <s v="2025-03"/>
  </r>
  <r>
    <s v="C0040"/>
    <x v="35"/>
    <x v="2"/>
    <x v="2"/>
    <n v="4305.99"/>
    <n v="4597.8"/>
    <n v="74753"/>
    <n v="1230"/>
    <n v="234"/>
    <n v="8466.18"/>
    <n v="1.6454189129533264E-2"/>
    <n v="3.7380487804878051"/>
    <n v="19.648717948717948"/>
    <n v="1.841354560876941"/>
    <n v="3868.38"/>
    <n v="45.692153958455876"/>
    <s v="2025-04"/>
  </r>
  <r>
    <s v="C0041"/>
    <x v="32"/>
    <x v="4"/>
    <x v="3"/>
    <n v="8652.08"/>
    <n v="9247.58"/>
    <n v="177534"/>
    <n v="2754"/>
    <n v="206"/>
    <n v="6085.26"/>
    <n v="1.5512521545168812E-2"/>
    <n v="3.3578721859114014"/>
    <n v="44.891165048543691"/>
    <n v="0.65803810294152631"/>
    <n v="-3162.3199999999997"/>
    <n v="-51.966883912930584"/>
    <s v="2025-02"/>
  </r>
  <r>
    <s v="C0042"/>
    <x v="36"/>
    <x v="2"/>
    <x v="2"/>
    <n v="3770.36"/>
    <n v="3274.11"/>
    <n v="179996"/>
    <n v="8814"/>
    <n v="1350"/>
    <n v="44297.87"/>
    <n v="4.8967754838996423E-2"/>
    <n v="0.37146698434309056"/>
    <n v="2.4252666666666669"/>
    <n v="13.529743960954274"/>
    <n v="41023.760000000002"/>
    <n v="92.608877131112621"/>
    <s v="2025-01"/>
  </r>
  <r>
    <s v="C0043"/>
    <x v="37"/>
    <x v="2"/>
    <x v="0"/>
    <n v="8726.1"/>
    <n v="9234.1299999999992"/>
    <n v="169629"/>
    <n v="5933"/>
    <n v="149"/>
    <n v="3011.08"/>
    <n v="3.4976330698170716E-2"/>
    <n v="1.5564014832293949"/>
    <n v="61.974026845637582"/>
    <n v="0.32608161245293277"/>
    <n v="-6223.0499999999993"/>
    <n v="-206.67169254885289"/>
    <s v="2024-12"/>
  </r>
  <r>
    <s v="C0044"/>
    <x v="38"/>
    <x v="3"/>
    <x v="0"/>
    <n v="6575.23"/>
    <n v="6083.56"/>
    <n v="103534"/>
    <n v="3406"/>
    <n v="219"/>
    <n v="5839.25"/>
    <n v="3.2897405683157223E-2"/>
    <n v="1.786130358191427"/>
    <n v="27.77881278538813"/>
    <n v="0.9598409483920598"/>
    <n v="-244.3100000000004"/>
    <n v="-4.1839277304448412"/>
    <s v="2025-04"/>
  </r>
  <r>
    <s v="C0045"/>
    <x v="39"/>
    <x v="2"/>
    <x v="1"/>
    <n v="3839.06"/>
    <n v="3460.09"/>
    <n v="157185"/>
    <n v="1409"/>
    <n v="97"/>
    <n v="4683.87"/>
    <n v="8.9639596653624705E-3"/>
    <n v="2.4557061745919091"/>
    <n v="35.671030927835055"/>
    <n v="1.3536844417341745"/>
    <n v="1223.7799999999997"/>
    <n v="26.127539833513737"/>
    <s v="2025-05"/>
  </r>
  <r>
    <s v="C0046"/>
    <x v="40"/>
    <x v="2"/>
    <x v="1"/>
    <n v="5262.42"/>
    <n v="5028.96"/>
    <n v="114793"/>
    <n v="4639"/>
    <n v="463"/>
    <n v="19024.93"/>
    <n v="4.0411871804029866E-2"/>
    <n v="1.0840612200905368"/>
    <n v="10.861684665226782"/>
    <n v="3.7830744328847317"/>
    <n v="13995.970000000001"/>
    <n v="73.566473043527623"/>
    <s v="2025-05"/>
  </r>
  <r>
    <s v="C0047"/>
    <x v="41"/>
    <x v="0"/>
    <x v="3"/>
    <n v="5545.41"/>
    <n v="6053.01"/>
    <n v="175219"/>
    <n v="4802"/>
    <n v="292"/>
    <n v="14271.04"/>
    <n v="2.7405703719345503E-2"/>
    <n v="1.26051853394419"/>
    <n v="20.729486301369864"/>
    <n v="2.3576765939590385"/>
    <n v="8218.0300000000007"/>
    <n v="57.58536168352132"/>
    <s v="2025-01"/>
  </r>
  <r>
    <s v="C0048"/>
    <x v="42"/>
    <x v="2"/>
    <x v="2"/>
    <n v="4762.4799999999996"/>
    <n v="4520.42"/>
    <n v="100064"/>
    <n v="1424"/>
    <n v="261"/>
    <n v="7575.88"/>
    <n v="1.4230892228973457E-2"/>
    <n v="3.1744522471910113"/>
    <n v="17.319616858237548"/>
    <n v="1.6759239185739379"/>
    <n v="3055.46"/>
    <n v="40.331420244248847"/>
    <s v="2025-03"/>
  </r>
  <r>
    <s v="C0049"/>
    <x v="43"/>
    <x v="1"/>
    <x v="2"/>
    <n v="4993.88"/>
    <n v="4050.37"/>
    <n v="61208"/>
    <n v="3037"/>
    <n v="504"/>
    <n v="19296.61"/>
    <n v="4.9617697033067572E-2"/>
    <n v="1.3336746789594995"/>
    <n v="8.0364484126984124"/>
    <n v="4.7641598174981548"/>
    <n v="15246.240000000002"/>
    <n v="79.009940087922175"/>
    <s v="2025-02"/>
  </r>
  <r>
    <s v="C0050"/>
    <x v="44"/>
    <x v="3"/>
    <x v="2"/>
    <n v="6518.75"/>
    <n v="5315.67"/>
    <n v="64306"/>
    <n v="2956"/>
    <n v="50"/>
    <n v="1417.97"/>
    <n v="4.5967716853792806E-2"/>
    <n v="1.7982645466847091"/>
    <n v="106.3134"/>
    <n v="0.26675282701898351"/>
    <n v="-3897.7"/>
    <n v="-274.87887613983372"/>
    <s v="2025-05"/>
  </r>
  <r>
    <s v="C0051"/>
    <x v="0"/>
    <x v="3"/>
    <x v="1"/>
    <n v="9357.86"/>
    <n v="8158.82"/>
    <n v="160805"/>
    <n v="1964"/>
    <n v="323"/>
    <n v="7864.03"/>
    <n v="1.2213550573676192E-2"/>
    <n v="4.1541853360488794"/>
    <n v="25.259504643962849"/>
    <n v="0.96386854961869484"/>
    <n v="-294.78999999999996"/>
    <n v="-3.7485869204466407"/>
    <s v="2025-05"/>
  </r>
  <r>
    <s v="C0052"/>
    <x v="45"/>
    <x v="2"/>
    <x v="1"/>
    <n v="6426.17"/>
    <n v="7041.12"/>
    <n v="169372"/>
    <n v="2478"/>
    <n v="264"/>
    <n v="7197.08"/>
    <n v="1.4630517440899321E-2"/>
    <n v="2.8414527845036317"/>
    <n v="26.670909090909092"/>
    <n v="1.0221498852455291"/>
    <n v="155.96000000000004"/>
    <n v="2.1669899459225137"/>
    <s v="2025-03"/>
  </r>
  <r>
    <s v="C0053"/>
    <x v="46"/>
    <x v="1"/>
    <x v="1"/>
    <n v="7704.95"/>
    <n v="7924.43"/>
    <n v="77537"/>
    <n v="3060"/>
    <n v="221"/>
    <n v="5995.54"/>
    <n v="3.9465029598772197E-2"/>
    <n v="2.5896830065359477"/>
    <n v="35.857149321266967"/>
    <n v="0.7565894329308227"/>
    <n v="-1928.8900000000003"/>
    <n v="-32.172081247060319"/>
    <s v="2025-01"/>
  </r>
  <r>
    <s v="C0054"/>
    <x v="47"/>
    <x v="2"/>
    <x v="0"/>
    <n v="8097.51"/>
    <n v="7371.45"/>
    <n v="111631"/>
    <n v="2469"/>
    <n v="139"/>
    <n v="5416.72"/>
    <n v="2.2117512160600549E-2"/>
    <n v="2.9856014580801942"/>
    <n v="53.032014388489209"/>
    <n v="0.7348242204722274"/>
    <n v="-1954.7299999999996"/>
    <n v="-36.086967759086669"/>
    <s v="2025-01"/>
  </r>
  <r>
    <s v="C0055"/>
    <x v="1"/>
    <x v="0"/>
    <x v="0"/>
    <n v="7434.71"/>
    <n v="7142.77"/>
    <n v="102718"/>
    <n v="2206"/>
    <n v="152"/>
    <n v="3451.72"/>
    <n v="2.1476274849588192E-2"/>
    <n v="3.2378830462375343"/>
    <n v="46.991907894736848"/>
    <n v="0.48324669560968636"/>
    <n v="-3691.0500000000006"/>
    <n v="-106.93364467569795"/>
    <s v="2025-01"/>
  </r>
  <r>
    <s v="C0056"/>
    <x v="48"/>
    <x v="3"/>
    <x v="0"/>
    <n v="8847.1200000000008"/>
    <n v="7929.09"/>
    <n v="79647"/>
    <n v="2287"/>
    <n v="311"/>
    <n v="7960.22"/>
    <n v="2.8714201413738118E-2"/>
    <n v="3.4670266724967207"/>
    <n v="25.495466237942122"/>
    <n v="1.0039260495214457"/>
    <n v="31.130000000000109"/>
    <n v="0.39106959355394832"/>
    <s v="2025-01"/>
  </r>
  <r>
    <s v="C0057"/>
    <x v="49"/>
    <x v="1"/>
    <x v="2"/>
    <n v="3285.43"/>
    <n v="3210.75"/>
    <n v="155333"/>
    <n v="2501"/>
    <n v="402"/>
    <n v="16211.43"/>
    <n v="1.6100892920371073E-2"/>
    <n v="1.2837864854058376"/>
    <n v="7.9869402985074629"/>
    <n v="5.0491100210231252"/>
    <n v="13000.68"/>
    <n v="80.194529415356939"/>
    <s v="2025-02"/>
  </r>
  <r>
    <s v="C0058"/>
    <x v="50"/>
    <x v="3"/>
    <x v="0"/>
    <n v="3116.11"/>
    <n v="2971.61"/>
    <n v="81389"/>
    <n v="3140"/>
    <n v="392"/>
    <n v="10503.59"/>
    <n v="3.8580152109007358E-2"/>
    <n v="0.94637261146496821"/>
    <n v="7.5806377551020407"/>
    <n v="3.5346462018905576"/>
    <n v="7531.98"/>
    <n v="71.708625336670593"/>
    <s v="2025-04"/>
  </r>
  <r>
    <s v="C0059"/>
    <x v="51"/>
    <x v="4"/>
    <x v="2"/>
    <n v="7516.21"/>
    <n v="6406.14"/>
    <n v="146743"/>
    <n v="3193"/>
    <n v="385"/>
    <n v="15680.33"/>
    <n v="2.175912990738911E-2"/>
    <n v="2.0063075477607266"/>
    <n v="16.639324675324676"/>
    <n v="2.4477032971492974"/>
    <n v="9274.1899999999987"/>
    <n v="59.145375129222401"/>
    <s v="2025-04"/>
  </r>
  <r>
    <s v="C0060"/>
    <x v="52"/>
    <x v="3"/>
    <x v="2"/>
    <n v="5707.15"/>
    <n v="6169.54"/>
    <n v="121778"/>
    <n v="2381"/>
    <n v="316"/>
    <n v="7623.7"/>
    <n v="1.9551971620489744E-2"/>
    <n v="2.5911549769004618"/>
    <n v="19.523860759493672"/>
    <n v="1.2356999063139229"/>
    <n v="1454.1599999999999"/>
    <n v="19.074202814906148"/>
    <s v="2025-03"/>
  </r>
  <r>
    <s v="C0061"/>
    <x v="53"/>
    <x v="1"/>
    <x v="0"/>
    <n v="5387.46"/>
    <n v="4493.37"/>
    <n v="145652"/>
    <n v="3086"/>
    <n v="536"/>
    <n v="25589.07"/>
    <n v="2.1187487985060281E-2"/>
    <n v="1.456049902786779"/>
    <n v="8.3831529850746271"/>
    <n v="5.6948504129417339"/>
    <n v="21095.7"/>
    <n v="82.440276258574457"/>
    <s v="2024-12"/>
  </r>
  <r>
    <s v="C0062"/>
    <x v="54"/>
    <x v="1"/>
    <x v="1"/>
    <n v="9141.3799999999992"/>
    <n v="8020.49"/>
    <n v="80391"/>
    <n v="1900"/>
    <n v="189"/>
    <n v="7522.11"/>
    <n v="2.3634486447487904E-2"/>
    <n v="4.2213105263157891"/>
    <n v="42.436455026455022"/>
    <n v="0.93786165184421399"/>
    <n v="-498.38000000000011"/>
    <n v="-6.625534590693305"/>
    <s v="2025-02"/>
  </r>
  <r>
    <s v="C0063"/>
    <x v="55"/>
    <x v="2"/>
    <x v="0"/>
    <n v="8720.56"/>
    <n v="8428.9500000000007"/>
    <n v="136864"/>
    <n v="3696"/>
    <n v="599"/>
    <n v="21497.82"/>
    <n v="2.7004909983633387E-2"/>
    <n v="2.2805600649350652"/>
    <n v="14.071702838063441"/>
    <n v="2.5504742583595821"/>
    <n v="13068.869999999999"/>
    <n v="60.79160584654629"/>
    <s v="2025-03"/>
  </r>
  <r>
    <s v="C0064"/>
    <x v="11"/>
    <x v="2"/>
    <x v="1"/>
    <n v="4692.97"/>
    <n v="3885.45"/>
    <n v="135649"/>
    <n v="5567"/>
    <n v="914"/>
    <n v="42881.66"/>
    <n v="4.1039742276021203E-2"/>
    <n v="0.69794323693192017"/>
    <n v="4.2510393873085341"/>
    <n v="11.036471965924154"/>
    <n v="38996.210000000006"/>
    <n v="90.939133419741694"/>
    <s v="2025-05"/>
  </r>
  <r>
    <s v="C0065"/>
    <x v="56"/>
    <x v="3"/>
    <x v="2"/>
    <n v="9302.93"/>
    <n v="9209.25"/>
    <n v="75522"/>
    <n v="1938"/>
    <n v="231"/>
    <n v="6969.48"/>
    <n v="2.5661396679113369E-2"/>
    <n v="4.7519349845201235"/>
    <n v="39.866883116883116"/>
    <n v="0.75679126964736543"/>
    <n v="-2239.7700000000004"/>
    <n v="-32.136830868300081"/>
    <s v="2025-03"/>
  </r>
  <r>
    <s v="C0066"/>
    <x v="57"/>
    <x v="3"/>
    <x v="2"/>
    <n v="5444.47"/>
    <n v="5541.31"/>
    <n v="180933"/>
    <n v="2435"/>
    <n v="256"/>
    <n v="12009.81"/>
    <n v="1.3458020372181969E-2"/>
    <n v="2.2756919917864478"/>
    <n v="21.645742187500002"/>
    <n v="2.1673232502783635"/>
    <n v="6468.4999999999991"/>
    <n v="53.860136005482182"/>
    <s v="2024-12"/>
  </r>
  <r>
    <s v="C0067"/>
    <x v="58"/>
    <x v="4"/>
    <x v="1"/>
    <n v="9209.6"/>
    <n v="9522.3799999999992"/>
    <n v="130681"/>
    <n v="5935"/>
    <n v="667"/>
    <n v="26187.05"/>
    <n v="4.5415936517167757E-2"/>
    <n v="1.6044448188711036"/>
    <n v="14.276431784107945"/>
    <n v="2.7500530329602473"/>
    <n v="16664.669999999998"/>
    <n v="63.637064885124516"/>
    <s v="2025-04"/>
  </r>
  <r>
    <s v="C0068"/>
    <x v="59"/>
    <x v="1"/>
    <x v="1"/>
    <n v="3588.98"/>
    <n v="3045.21"/>
    <n v="162389"/>
    <n v="4500"/>
    <n v="742"/>
    <n v="34841.82"/>
    <n v="2.7711236598538077E-2"/>
    <n v="0.67671333333333339"/>
    <n v="4.1040566037735848"/>
    <n v="11.441516348626203"/>
    <n v="31796.61"/>
    <n v="91.259899741173115"/>
    <s v="2025-01"/>
  </r>
  <r>
    <s v="C0069"/>
    <x v="28"/>
    <x v="2"/>
    <x v="0"/>
    <n v="7245"/>
    <n v="5815.99"/>
    <n v="94836"/>
    <n v="3956"/>
    <n v="181"/>
    <n v="4170.99"/>
    <n v="4.1714117001982368E-2"/>
    <n v="1.470169362992922"/>
    <n v="32.132541436464088"/>
    <n v="0.71715907351972752"/>
    <n v="-1645"/>
    <n v="-39.439078012654072"/>
    <s v="2025-05"/>
  </r>
  <r>
    <s v="C0070"/>
    <x v="60"/>
    <x v="1"/>
    <x v="3"/>
    <n v="7644.51"/>
    <n v="6127.22"/>
    <n v="191486"/>
    <n v="4445"/>
    <n v="80"/>
    <n v="1985.94"/>
    <n v="2.3213185298141901E-2"/>
    <n v="1.3784521934758156"/>
    <n v="76.590249999999997"/>
    <n v="0.32411762593802734"/>
    <n v="-4141.2800000000007"/>
    <n v="-208.52996565857987"/>
    <s v="2025-02"/>
  </r>
  <r>
    <s v="C0071"/>
    <x v="61"/>
    <x v="4"/>
    <x v="3"/>
    <n v="6841.14"/>
    <n v="6892.92"/>
    <n v="138384"/>
    <n v="3042"/>
    <n v="323"/>
    <n v="12777.5"/>
    <n v="2.1982310093652445E-2"/>
    <n v="2.2659171597633136"/>
    <n v="21.34030959752322"/>
    <n v="1.8537136656163136"/>
    <n v="5884.58"/>
    <n v="46.054235961651344"/>
    <s v="2025-03"/>
  </r>
  <r>
    <s v="C0072"/>
    <x v="39"/>
    <x v="3"/>
    <x v="2"/>
    <n v="4569.8900000000003"/>
    <n v="4632.29"/>
    <n v="72528"/>
    <n v="1306"/>
    <n v="139"/>
    <n v="3769.33"/>
    <n v="1.800683873814251E-2"/>
    <n v="3.5469295558958653"/>
    <n v="33.325827338129493"/>
    <n v="0.81370769101243656"/>
    <n v="-862.96"/>
    <n v="-22.894254416567403"/>
    <s v="2025-05"/>
  </r>
  <r>
    <s v="C0073"/>
    <x v="62"/>
    <x v="4"/>
    <x v="3"/>
    <n v="5277.8"/>
    <n v="5404.19"/>
    <n v="173181"/>
    <n v="6365"/>
    <n v="651"/>
    <n v="25707.33"/>
    <n v="3.6753454478262629E-2"/>
    <n v="0.84904791830322068"/>
    <n v="8.3013671274961585"/>
    <n v="4.7569256447312185"/>
    <n v="20303.140000000003"/>
    <n v="78.978019109724741"/>
    <s v="2025-02"/>
  </r>
  <r>
    <s v="C0074"/>
    <x v="1"/>
    <x v="1"/>
    <x v="2"/>
    <n v="8944.56"/>
    <n v="8920.27"/>
    <n v="107709"/>
    <n v="2586"/>
    <n v="314"/>
    <n v="11633.47"/>
    <n v="2.4009135726819487E-2"/>
    <n v="3.449447022428461"/>
    <n v="28.408503184713378"/>
    <n v="1.3041611969144431"/>
    <n v="2713.1999999999989"/>
    <n v="23.322362115516686"/>
    <s v="2025-01"/>
  </r>
  <r>
    <s v="C0075"/>
    <x v="58"/>
    <x v="2"/>
    <x v="1"/>
    <n v="3655.72"/>
    <n v="3327.86"/>
    <n v="86473"/>
    <n v="2750"/>
    <n v="491"/>
    <n v="13726.43"/>
    <n v="3.1801834098504733E-2"/>
    <n v="1.2101309090909091"/>
    <n v="6.7777189409368637"/>
    <n v="4.1247017602903968"/>
    <n v="10398.57"/>
    <n v="75.755822890584085"/>
    <s v="2025-04"/>
  </r>
  <r>
    <s v="C0076"/>
    <x v="63"/>
    <x v="4"/>
    <x v="2"/>
    <n v="4707.93"/>
    <n v="5140.6000000000004"/>
    <n v="94803"/>
    <n v="2004"/>
    <n v="320"/>
    <n v="10173.74"/>
    <n v="2.1138571564191008E-2"/>
    <n v="2.5651696606786429"/>
    <n v="16.064375000000002"/>
    <n v="1.9790958253900321"/>
    <n v="5033.1399999999994"/>
    <n v="49.471875632756486"/>
    <s v="2025-06"/>
  </r>
  <r>
    <s v="C0077"/>
    <x v="64"/>
    <x v="2"/>
    <x v="0"/>
    <n v="9244.33"/>
    <n v="9145.7999999999993"/>
    <n v="55244"/>
    <n v="2028"/>
    <n v="320"/>
    <n v="14030.19"/>
    <n v="3.6709868945043807E-2"/>
    <n v="4.5097633136094668"/>
    <n v="28.580624999999998"/>
    <n v="1.5340582562487701"/>
    <n v="4884.3900000000012"/>
    <n v="34.813427330634873"/>
    <s v="2024-12"/>
  </r>
  <r>
    <s v="C0078"/>
    <x v="65"/>
    <x v="0"/>
    <x v="3"/>
    <n v="6518.46"/>
    <n v="6342.93"/>
    <n v="103713"/>
    <n v="2193"/>
    <n v="165"/>
    <n v="5737.96"/>
    <n v="2.1144890225911893E-2"/>
    <n v="2.8923529411764708"/>
    <n v="38.442"/>
    <n v="0.9046229423941301"/>
    <n v="-604.97000000000025"/>
    <n v="-10.543294132409432"/>
    <s v="2025-02"/>
  </r>
  <r>
    <s v="C0079"/>
    <x v="15"/>
    <x v="0"/>
    <x v="0"/>
    <n v="4366.7"/>
    <n v="4439.78"/>
    <n v="110834"/>
    <n v="4636"/>
    <n v="797"/>
    <n v="22653.27"/>
    <n v="4.182831982965516E-2"/>
    <n v="0.95767471958584982"/>
    <n v="5.5706148055207025"/>
    <n v="5.1023406565190168"/>
    <n v="18213.490000000002"/>
    <n v="80.401151798393784"/>
    <s v="2025-03"/>
  </r>
  <r>
    <s v="C0080"/>
    <x v="66"/>
    <x v="1"/>
    <x v="3"/>
    <n v="3170.21"/>
    <n v="3150.05"/>
    <n v="122735"/>
    <n v="2941"/>
    <n v="274"/>
    <n v="6935.85"/>
    <n v="2.3962194972909114E-2"/>
    <n v="1.0710812648758927"/>
    <n v="11.496532846715329"/>
    <n v="2.2018221932985189"/>
    <n v="3785.8"/>
    <n v="54.583072009919476"/>
    <s v="2025-03"/>
  </r>
  <r>
    <s v="C0081"/>
    <x v="36"/>
    <x v="3"/>
    <x v="3"/>
    <n v="9583.2099999999991"/>
    <n v="10409.08"/>
    <n v="188008"/>
    <n v="8592"/>
    <n v="165"/>
    <n v="7828.58"/>
    <n v="4.5700182970937406E-2"/>
    <n v="1.2114851024208566"/>
    <n v="63.085333333333331"/>
    <n v="0.75209144323994048"/>
    <n v="-2580.5"/>
    <n v="-32.962555150487063"/>
    <s v="2025-01"/>
  </r>
  <r>
    <s v="C0082"/>
    <x v="67"/>
    <x v="0"/>
    <x v="3"/>
    <n v="5591.11"/>
    <n v="4498.8100000000004"/>
    <n v="139883"/>
    <n v="4226"/>
    <n v="835"/>
    <n v="39954.379999999997"/>
    <n v="3.0210962018258115E-2"/>
    <n v="1.0645551348793185"/>
    <n v="5.387796407185629"/>
    <n v="8.8810996685790222"/>
    <n v="35455.57"/>
    <n v="88.740133121825451"/>
    <s v="2025-02"/>
  </r>
  <r>
    <s v="C0083"/>
    <x v="32"/>
    <x v="3"/>
    <x v="3"/>
    <n v="5997.29"/>
    <n v="6537.02"/>
    <n v="138325"/>
    <n v="4027"/>
    <n v="453"/>
    <n v="22155.599999999999"/>
    <n v="2.9112597144406289E-2"/>
    <n v="1.6232977402532904"/>
    <n v="14.430507726269317"/>
    <n v="3.3892507595203925"/>
    <n v="15618.579999999998"/>
    <n v="70.494953871707381"/>
    <s v="2025-02"/>
  </r>
  <r>
    <s v="C0084"/>
    <x v="38"/>
    <x v="0"/>
    <x v="3"/>
    <n v="8971.07"/>
    <n v="7969.31"/>
    <n v="82264"/>
    <n v="3537"/>
    <n v="673"/>
    <n v="21235.119999999999"/>
    <n v="4.2995721093066229E-2"/>
    <n v="2.2531269437376307"/>
    <n v="11.841471025260031"/>
    <n v="2.6646121182385927"/>
    <n v="13265.809999999998"/>
    <n v="62.471085635494397"/>
    <s v="2025-04"/>
  </r>
  <r>
    <s v="C0085"/>
    <x v="37"/>
    <x v="1"/>
    <x v="0"/>
    <n v="8957.9599999999991"/>
    <n v="8018.06"/>
    <n v="88706"/>
    <n v="1251"/>
    <n v="146"/>
    <n v="3662.38"/>
    <n v="1.4102766441954321E-2"/>
    <n v="6.4093205435651486"/>
    <n v="54.918219178082197"/>
    <n v="0.45676634996495413"/>
    <n v="-4355.68"/>
    <n v="-118.93031307510418"/>
    <s v="2024-12"/>
  </r>
  <r>
    <s v="C0086"/>
    <x v="43"/>
    <x v="0"/>
    <x v="2"/>
    <n v="6897.61"/>
    <n v="7455.26"/>
    <n v="141755"/>
    <n v="1695"/>
    <n v="122"/>
    <n v="4987.47"/>
    <n v="1.1957250185178653E-2"/>
    <n v="4.3983834808259585"/>
    <n v="61.108688524590164"/>
    <n v="0.66898672883306554"/>
    <n v="-2467.79"/>
    <n v="-49.47979636970247"/>
    <s v="2025-02"/>
  </r>
  <r>
    <s v="C0087"/>
    <x v="68"/>
    <x v="2"/>
    <x v="2"/>
    <n v="6990.43"/>
    <n v="5796.14"/>
    <n v="97675"/>
    <n v="4253"/>
    <n v="420"/>
    <n v="16149.09"/>
    <n v="4.3542359866905557E-2"/>
    <n v="1.3628356454267576"/>
    <n v="13.800333333333334"/>
    <n v="2.7861801129717363"/>
    <n v="10352.950000000001"/>
    <n v="64.10856586965582"/>
    <s v="2024-12"/>
  </r>
  <r>
    <s v="C0088"/>
    <x v="21"/>
    <x v="4"/>
    <x v="2"/>
    <n v="9930.3799999999992"/>
    <n v="8361.6299999999992"/>
    <n v="155967"/>
    <n v="1655"/>
    <n v="74"/>
    <n v="2630.69"/>
    <n v="1.0611219039925112E-2"/>
    <n v="5.0523444108761328"/>
    <n v="112.99499999999999"/>
    <n v="0.31461449502070771"/>
    <n v="-5730.9399999999987"/>
    <n v="-217.84930949674796"/>
    <s v="2025-04"/>
  </r>
  <r>
    <s v="C0089"/>
    <x v="53"/>
    <x v="2"/>
    <x v="1"/>
    <n v="9141.61"/>
    <n v="9344.83"/>
    <n v="154219"/>
    <n v="2086"/>
    <n v="249"/>
    <n v="10186.709999999999"/>
    <n v="1.3526219207750018E-2"/>
    <n v="4.4797842761265576"/>
    <n v="37.529437751004018"/>
    <n v="1.0900904564341993"/>
    <n v="841.8799999999992"/>
    <n v="8.2644936392613442"/>
    <s v="2024-12"/>
  </r>
  <r>
    <s v="C0090"/>
    <x v="19"/>
    <x v="1"/>
    <x v="0"/>
    <n v="7917.39"/>
    <n v="7187.78"/>
    <n v="133842"/>
    <n v="1394"/>
    <n v="197"/>
    <n v="5675.13"/>
    <n v="1.0415265761121322E-2"/>
    <n v="5.1562266857962697"/>
    <n v="36.486192893401011"/>
    <n v="0.78955254612689874"/>
    <n v="-1512.6499999999996"/>
    <n v="-26.65401497410631"/>
    <s v="2025-05"/>
  </r>
  <r>
    <s v="C0091"/>
    <x v="41"/>
    <x v="3"/>
    <x v="2"/>
    <n v="8665.5300000000007"/>
    <n v="9038.44"/>
    <n v="126153"/>
    <n v="6045"/>
    <n v="748"/>
    <n v="34417.1"/>
    <n v="4.7918004328077808E-2"/>
    <n v="1.4951927212572376"/>
    <n v="12.083475935828877"/>
    <n v="3.8078584357477614"/>
    <n v="25378.659999999996"/>
    <n v="73.73851951500852"/>
    <s v="2025-01"/>
  </r>
  <r>
    <s v="C0092"/>
    <x v="37"/>
    <x v="0"/>
    <x v="1"/>
    <n v="9392.68"/>
    <n v="8955.01"/>
    <n v="83386"/>
    <n v="1255"/>
    <n v="90"/>
    <n v="3154.09"/>
    <n v="1.5050488091526155E-2"/>
    <n v="7.1354661354581674"/>
    <n v="99.50011111111111"/>
    <n v="0.35221512873799138"/>
    <n v="-5800.92"/>
    <n v="-183.91738980181287"/>
    <s v="2024-12"/>
  </r>
  <r>
    <s v="C0093"/>
    <x v="69"/>
    <x v="3"/>
    <x v="2"/>
    <n v="8588.07"/>
    <n v="8545.0400000000009"/>
    <n v="137986"/>
    <n v="6053"/>
    <n v="403"/>
    <n v="16546.78"/>
    <n v="4.3866769092516633E-2"/>
    <n v="1.4117032876259707"/>
    <n v="21.203573200992558"/>
    <n v="1.9364192560830606"/>
    <n v="8001.739999999998"/>
    <n v="48.358290857798309"/>
    <s v="2025-05"/>
  </r>
  <r>
    <s v="C0094"/>
    <x v="70"/>
    <x v="1"/>
    <x v="3"/>
    <n v="8570.5499999999993"/>
    <n v="9144.7900000000009"/>
    <n v="103318"/>
    <n v="2013"/>
    <n v="80"/>
    <n v="2411.19"/>
    <n v="1.948353626667183E-2"/>
    <n v="4.5428663686040736"/>
    <n v="114.30987500000001"/>
    <n v="0.26366816515196084"/>
    <n v="-6733.6"/>
    <n v="-279.26459549019364"/>
    <s v="2025-04"/>
  </r>
  <r>
    <s v="C0095"/>
    <x v="71"/>
    <x v="3"/>
    <x v="1"/>
    <n v="5629.08"/>
    <n v="4661.97"/>
    <n v="163071"/>
    <n v="2665"/>
    <n v="80"/>
    <n v="2987.87"/>
    <n v="1.6342574706722839E-2"/>
    <n v="1.7493320825515948"/>
    <n v="58.274625"/>
    <n v="0.64090288011291363"/>
    <n v="-1674.1000000000004"/>
    <n v="-56.029880818107905"/>
    <s v="2025-05"/>
  </r>
  <r>
    <s v="C0096"/>
    <x v="72"/>
    <x v="1"/>
    <x v="2"/>
    <n v="3251.6"/>
    <n v="3055.46"/>
    <n v="115973"/>
    <n v="4194"/>
    <n v="366"/>
    <n v="13278.24"/>
    <n v="3.616358980107439E-2"/>
    <n v="0.72853123509775874"/>
    <n v="8.348251366120218"/>
    <n v="4.3457417213774683"/>
    <n v="10222.779999999999"/>
    <n v="76.988968417501098"/>
    <s v="2025-06"/>
  </r>
  <r>
    <s v="C0097"/>
    <x v="73"/>
    <x v="4"/>
    <x v="1"/>
    <n v="5005.79"/>
    <n v="4891.91"/>
    <n v="58155"/>
    <n v="2713"/>
    <n v="76"/>
    <n v="1589.54"/>
    <n v="4.6651190783251653E-2"/>
    <n v="1.8031367489863619"/>
    <n v="64.367236842105257"/>
    <n v="0.32493238837182203"/>
    <n v="-3302.37"/>
    <n v="-207.75633202058458"/>
    <s v="2025-03"/>
  </r>
  <r>
    <s v="C0098"/>
    <x v="74"/>
    <x v="1"/>
    <x v="3"/>
    <n v="3261.44"/>
    <n v="3414.01"/>
    <n v="121100"/>
    <n v="4154"/>
    <n v="712"/>
    <n v="21933.67"/>
    <n v="3.4302229562345167E-2"/>
    <n v="0.82186085700529621"/>
    <n v="4.7949578651685396"/>
    <n v="6.4246062548147185"/>
    <n v="18519.659999999996"/>
    <n v="84.434843781273258"/>
    <s v="2025-01"/>
  </r>
  <r>
    <s v="C0099"/>
    <x v="4"/>
    <x v="3"/>
    <x v="3"/>
    <n v="3889.42"/>
    <n v="3720.9"/>
    <n v="129730"/>
    <n v="3017"/>
    <n v="425"/>
    <n v="18317.419999999998"/>
    <n v="2.3255993216680797E-2"/>
    <n v="1.2333112363274776"/>
    <n v="8.7550588235294118"/>
    <n v="4.9228466231288124"/>
    <n v="14596.519999999999"/>
    <n v="79.686549743359052"/>
    <s v="2025-05"/>
  </r>
  <r>
    <s v="C0100"/>
    <x v="75"/>
    <x v="0"/>
    <x v="0"/>
    <n v="4510.75"/>
    <n v="4451.51"/>
    <n v="51577"/>
    <n v="1434"/>
    <n v="154"/>
    <n v="3474.31"/>
    <n v="2.7803090524846346E-2"/>
    <n v="3.1042608089260812"/>
    <n v="28.905909090909091"/>
    <n v="0.78047898353592371"/>
    <n v="-977.20000000000027"/>
    <n v="-28.126448129268844"/>
    <s v="2025-03"/>
  </r>
  <r>
    <s v="C0101"/>
    <x v="60"/>
    <x v="0"/>
    <x v="0"/>
    <n v="3361.77"/>
    <n v="3225.3"/>
    <n v="147591"/>
    <n v="4755"/>
    <n v="277"/>
    <n v="10032.68"/>
    <n v="3.2217411630790498E-2"/>
    <n v="0.67829652996845424"/>
    <n v="11.643682310469314"/>
    <n v="3.1106191672092516"/>
    <n v="6807.38"/>
    <n v="67.85205946965317"/>
    <s v="2025-02"/>
  </r>
  <r>
    <s v="C0102"/>
    <x v="74"/>
    <x v="3"/>
    <x v="2"/>
    <n v="7462.01"/>
    <n v="7595.04"/>
    <n v="189630"/>
    <n v="2389"/>
    <n v="268"/>
    <n v="13205.85"/>
    <n v="1.2598217581606286E-2"/>
    <n v="3.1791712013394724"/>
    <n v="28.339701492537312"/>
    <n v="1.7387466030461987"/>
    <n v="5610.81"/>
    <n v="42.487306761776033"/>
    <s v="2025-01"/>
  </r>
  <r>
    <s v="C0103"/>
    <x v="76"/>
    <x v="4"/>
    <x v="0"/>
    <n v="6614.1"/>
    <n v="5932.1"/>
    <n v="175761"/>
    <n v="4515"/>
    <n v="649"/>
    <n v="28462.28"/>
    <n v="2.5688292624643692E-2"/>
    <n v="1.3138648947951275"/>
    <n v="9.1403697996918343"/>
    <n v="4.7980108224743336"/>
    <n v="22530.18"/>
    <n v="79.158029504312381"/>
    <s v="2025-02"/>
  </r>
  <r>
    <s v="C0104"/>
    <x v="8"/>
    <x v="3"/>
    <x v="0"/>
    <n v="4895.83"/>
    <n v="4561.3999999999996"/>
    <n v="151629"/>
    <n v="4739"/>
    <n v="583"/>
    <n v="13032.2"/>
    <n v="3.1253915807662125E-2"/>
    <n v="0.96252373918548206"/>
    <n v="7.8240137221269288"/>
    <n v="2.8570614285087914"/>
    <n v="8470.8000000000011"/>
    <n v="64.999002470803092"/>
    <s v="2025-02"/>
  </r>
  <r>
    <s v="C0105"/>
    <x v="11"/>
    <x v="2"/>
    <x v="3"/>
    <n v="3177.46"/>
    <n v="3459.6"/>
    <n v="120702"/>
    <n v="2467"/>
    <n v="288"/>
    <n v="12982.87"/>
    <n v="2.0438766549021558E-2"/>
    <n v="1.4023510336441021"/>
    <n v="12.012499999999999"/>
    <n v="3.7527084055960231"/>
    <n v="9523.27"/>
    <n v="73.352579206292603"/>
    <s v="2025-05"/>
  </r>
  <r>
    <s v="C0106"/>
    <x v="77"/>
    <x v="0"/>
    <x v="3"/>
    <n v="7871.82"/>
    <n v="7263.22"/>
    <n v="176077"/>
    <n v="2054"/>
    <n v="402"/>
    <n v="10129.93"/>
    <n v="1.166535095441199E-2"/>
    <n v="3.5361343719571567"/>
    <n v="18.06771144278607"/>
    <n v="1.3946885816483598"/>
    <n v="2866.71"/>
    <n v="28.299405820178418"/>
    <s v="2025-04"/>
  </r>
  <r>
    <s v="C0107"/>
    <x v="78"/>
    <x v="4"/>
    <x v="1"/>
    <n v="4095.06"/>
    <n v="3583.48"/>
    <n v="134667"/>
    <n v="4062"/>
    <n v="556"/>
    <n v="20281.099999999999"/>
    <n v="3.0163291675020607E-2"/>
    <n v="0.88219596258000987"/>
    <n v="6.445107913669065"/>
    <n v="5.6596102113029785"/>
    <n v="16697.62"/>
    <n v="82.330938657173419"/>
    <s v="2025-04"/>
  </r>
  <r>
    <s v="C0108"/>
    <x v="79"/>
    <x v="3"/>
    <x v="2"/>
    <n v="8002.17"/>
    <n v="7986.64"/>
    <n v="178492"/>
    <n v="2018"/>
    <n v="385"/>
    <n v="10933.24"/>
    <n v="1.1305828832664769E-2"/>
    <n v="3.9577006937561943"/>
    <n v="20.744519480519482"/>
    <n v="1.368941131689922"/>
    <n v="2946.5999999999995"/>
    <n v="26.950839824242394"/>
    <s v="2025-02"/>
  </r>
  <r>
    <s v="C0109"/>
    <x v="80"/>
    <x v="2"/>
    <x v="2"/>
    <n v="9684.06"/>
    <n v="9891"/>
    <n v="145812"/>
    <n v="2588"/>
    <n v="340"/>
    <n v="12454.41"/>
    <n v="1.7748882122184732E-2"/>
    <n v="3.821870170015456"/>
    <n v="29.091176470588234"/>
    <n v="1.2591659084015772"/>
    <n v="2563.41"/>
    <n v="20.582347939404595"/>
    <s v="2025-04"/>
  </r>
  <r>
    <s v="C0110"/>
    <x v="20"/>
    <x v="2"/>
    <x v="0"/>
    <n v="7282.05"/>
    <n v="6742.3"/>
    <n v="186329"/>
    <n v="2426"/>
    <n v="475"/>
    <n v="13030.17"/>
    <n v="1.3019980786673036E-2"/>
    <n v="2.7791838417147567"/>
    <n v="14.194315789473684"/>
    <n v="1.9326001512836866"/>
    <n v="6287.87"/>
    <n v="48.256239174162729"/>
    <s v="2025-06"/>
  </r>
  <r>
    <s v="C0111"/>
    <x v="81"/>
    <x v="3"/>
    <x v="2"/>
    <n v="5491.81"/>
    <n v="5642.03"/>
    <n v="147883"/>
    <n v="1463"/>
    <n v="163"/>
    <n v="3330.38"/>
    <n v="9.8929559178539787E-3"/>
    <n v="3.85647983595352"/>
    <n v="34.613680981595088"/>
    <n v="0.59028044870374674"/>
    <n v="-2311.6499999999996"/>
    <n v="-69.410998144355887"/>
    <s v="2024-12"/>
  </r>
  <r>
    <s v="C0112"/>
    <x v="3"/>
    <x v="2"/>
    <x v="0"/>
    <n v="3812.51"/>
    <n v="3102.62"/>
    <n v="134164"/>
    <n v="3192"/>
    <n v="339"/>
    <n v="7194.21"/>
    <n v="2.3791777227870368E-2"/>
    <n v="0.97199874686716792"/>
    <n v="9.1522713864306784"/>
    <n v="2.318753182793897"/>
    <n v="4091.59"/>
    <n v="56.873374560931644"/>
    <s v="2025-05"/>
  </r>
  <r>
    <s v="C0113"/>
    <x v="68"/>
    <x v="0"/>
    <x v="0"/>
    <n v="8988.2199999999993"/>
    <n v="9087.9699999999993"/>
    <n v="127750"/>
    <n v="5551"/>
    <n v="393"/>
    <n v="13450.51"/>
    <n v="4.345205479452055E-2"/>
    <n v="1.6371770852098719"/>
    <n v="23.124605597964376"/>
    <n v="1.4800345951846232"/>
    <n v="4362.5400000000009"/>
    <n v="32.434011795835254"/>
    <s v="2024-12"/>
  </r>
  <r>
    <s v="C0114"/>
    <x v="68"/>
    <x v="3"/>
    <x v="3"/>
    <n v="3684.84"/>
    <n v="3491.33"/>
    <n v="99153"/>
    <n v="2036"/>
    <n v="382"/>
    <n v="13065.99"/>
    <n v="2.0533922322067914E-2"/>
    <n v="1.7147986247544205"/>
    <n v="9.1396073298429314"/>
    <n v="3.7424104854024112"/>
    <n v="9574.66"/>
    <n v="73.279254002184302"/>
    <s v="2024-12"/>
  </r>
  <r>
    <s v="C0115"/>
    <x v="10"/>
    <x v="3"/>
    <x v="3"/>
    <n v="4212.41"/>
    <n v="3918.2"/>
    <n v="171690"/>
    <n v="1892"/>
    <n v="232"/>
    <n v="7413.59"/>
    <n v="1.1019861378065118E-2"/>
    <n v="2.0709302325581396"/>
    <n v="16.888793103448275"/>
    <n v="1.8920907559593692"/>
    <n v="3495.3900000000003"/>
    <n v="47.148412577442237"/>
    <s v="2025-04"/>
  </r>
  <r>
    <s v="C0116"/>
    <x v="46"/>
    <x v="2"/>
    <x v="3"/>
    <n v="7310.95"/>
    <n v="7241.7"/>
    <n v="196304"/>
    <n v="8710"/>
    <n v="965"/>
    <n v="20611.55"/>
    <n v="4.436995680169533E-2"/>
    <n v="0.83142365097588977"/>
    <n v="7.5043523316062171"/>
    <n v="2.846230857395363"/>
    <n v="13369.849999999999"/>
    <n v="64.865815525761036"/>
    <s v="2025-01"/>
  </r>
  <r>
    <s v="C0117"/>
    <x v="82"/>
    <x v="3"/>
    <x v="3"/>
    <n v="5622.29"/>
    <n v="5553.46"/>
    <n v="184625"/>
    <n v="5858"/>
    <n v="179"/>
    <n v="6281.84"/>
    <n v="3.17291807718348E-2"/>
    <n v="0.94801297371116422"/>
    <n v="31.024916201117318"/>
    <n v="1.1311578727496012"/>
    <n v="728.38000000000011"/>
    <n v="11.595010379124588"/>
    <s v="2025-03"/>
  </r>
  <r>
    <s v="C0118"/>
    <x v="83"/>
    <x v="0"/>
    <x v="2"/>
    <n v="8995.43"/>
    <n v="8973.91"/>
    <n v="65860"/>
    <n v="1196"/>
    <n v="210"/>
    <n v="5226.49"/>
    <n v="1.815973276647434E-2"/>
    <n v="7.5032692307692308"/>
    <n v="42.732904761904763"/>
    <n v="0.58240945139855427"/>
    <n v="-3747.42"/>
    <n v="-71.700510285105295"/>
    <s v="2025-03"/>
  </r>
  <r>
    <s v="C0119"/>
    <x v="84"/>
    <x v="3"/>
    <x v="0"/>
    <n v="3493.98"/>
    <n v="3468.56"/>
    <n v="149919"/>
    <n v="5922"/>
    <n v="705"/>
    <n v="14660.71"/>
    <n v="3.9501330718588037E-2"/>
    <n v="0.58570753123944608"/>
    <n v="4.9199432624113477"/>
    <n v="4.2267425098599993"/>
    <n v="11192.15"/>
    <n v="76.341118540643677"/>
    <s v="2025-02"/>
  </r>
  <r>
    <s v="C0120"/>
    <x v="40"/>
    <x v="4"/>
    <x v="0"/>
    <n v="7100.43"/>
    <n v="7683.16"/>
    <n v="124319"/>
    <n v="3473"/>
    <n v="495"/>
    <n v="18445.79"/>
    <n v="2.7936196397976173E-2"/>
    <n v="2.2122545349841634"/>
    <n v="15.521535353535354"/>
    <n v="2.4008077405650803"/>
    <n v="10762.630000000001"/>
    <n v="58.347351888967623"/>
    <s v="2025-05"/>
  </r>
  <r>
    <s v="C0121"/>
    <x v="19"/>
    <x v="0"/>
    <x v="2"/>
    <n v="5717.19"/>
    <n v="5677.09"/>
    <n v="149623"/>
    <n v="2483"/>
    <n v="463"/>
    <n v="15625.13"/>
    <n v="1.6595042206077944E-2"/>
    <n v="2.2863834071687474"/>
    <n v="12.261533477321814"/>
    <n v="2.7523132449899506"/>
    <n v="9948.0399999999991"/>
    <n v="63.666926291173255"/>
    <s v="2025-05"/>
  </r>
  <r>
    <s v="C0122"/>
    <x v="85"/>
    <x v="3"/>
    <x v="0"/>
    <n v="6819.32"/>
    <n v="7381.5"/>
    <n v="53378"/>
    <n v="2137"/>
    <n v="410"/>
    <n v="12949.06"/>
    <n v="4.0035220502828879E-2"/>
    <n v="3.4541413196069257"/>
    <n v="18.003658536585366"/>
    <n v="1.7542586195217773"/>
    <n v="5567.5599999999995"/>
    <n v="42.995862247916058"/>
    <s v="2025-01"/>
  </r>
  <r>
    <s v="C0123"/>
    <x v="77"/>
    <x v="2"/>
    <x v="0"/>
    <n v="9728.33"/>
    <n v="10424.93"/>
    <n v="165946"/>
    <n v="4099"/>
    <n v="151"/>
    <n v="3906.93"/>
    <n v="2.4700806286382316E-2"/>
    <n v="2.5432861673578921"/>
    <n v="69.039271523178812"/>
    <n v="0.37476798405360995"/>
    <n v="-6518"/>
    <n v="-166.83175792757999"/>
    <s v="2025-04"/>
  </r>
  <r>
    <s v="C0124"/>
    <x v="18"/>
    <x v="2"/>
    <x v="0"/>
    <n v="3485.53"/>
    <n v="2893.8"/>
    <n v="66013"/>
    <n v="1830"/>
    <n v="275"/>
    <n v="5650.33"/>
    <n v="2.7721812370290699E-2"/>
    <n v="1.5813114754098361"/>
    <n v="10.522909090909092"/>
    <n v="1.9525641025641025"/>
    <n v="2756.5299999999997"/>
    <n v="48.785292186474059"/>
    <s v="2025-06"/>
  </r>
  <r>
    <s v="C0125"/>
    <x v="6"/>
    <x v="0"/>
    <x v="3"/>
    <n v="3661.1"/>
    <n v="3679.05"/>
    <n v="163376"/>
    <n v="7011"/>
    <n v="514"/>
    <n v="11377.73"/>
    <n v="4.2913279796298109E-2"/>
    <n v="0.52475395806589642"/>
    <n v="7.1576848249027245"/>
    <n v="3.0925728109158612"/>
    <n v="7698.6799999999994"/>
    <n v="67.664463825385198"/>
    <s v="2025-03"/>
  </r>
  <r>
    <s v="C0126"/>
    <x v="21"/>
    <x v="4"/>
    <x v="2"/>
    <n v="5232.83"/>
    <n v="5512.59"/>
    <n v="139628"/>
    <n v="1738"/>
    <n v="81"/>
    <n v="1676.55"/>
    <n v="1.2447360128341021E-2"/>
    <n v="3.1718009205983893"/>
    <n v="68.056666666666672"/>
    <n v="0.30413108901623376"/>
    <n v="-3836.04"/>
    <n v="-228.80558289344188"/>
    <s v="2025-04"/>
  </r>
  <r>
    <s v="C0127"/>
    <x v="86"/>
    <x v="0"/>
    <x v="1"/>
    <n v="8701.2800000000007"/>
    <n v="7696.77"/>
    <n v="62770"/>
    <n v="1245"/>
    <n v="249"/>
    <n v="5862.69"/>
    <n v="1.9834315755934362E-2"/>
    <n v="6.1821445783132534"/>
    <n v="30.910722891566266"/>
    <n v="0.76170783328591074"/>
    <n v="-1834.0800000000008"/>
    <n v="-31.283932802177855"/>
    <s v="2025-04"/>
  </r>
  <r>
    <s v="C0128"/>
    <x v="60"/>
    <x v="3"/>
    <x v="2"/>
    <n v="7877.16"/>
    <n v="7788.01"/>
    <n v="129840"/>
    <n v="5797"/>
    <n v="480"/>
    <n v="22235.599999999999"/>
    <n v="4.4647258163894026E-2"/>
    <n v="1.3434552354666207"/>
    <n v="16.225020833333335"/>
    <n v="2.8551067602635332"/>
    <n v="14447.589999999998"/>
    <n v="64.975040025904406"/>
    <s v="2025-02"/>
  </r>
  <r>
    <s v="C0129"/>
    <x v="87"/>
    <x v="3"/>
    <x v="3"/>
    <n v="8145.5"/>
    <n v="8479.83"/>
    <n v="81087"/>
    <n v="3895"/>
    <n v="231"/>
    <n v="6574.5"/>
    <n v="4.8034826790977592E-2"/>
    <n v="2.1771065468549424"/>
    <n v="36.709220779220779"/>
    <n v="0.77531035409907978"/>
    <n v="-1905.33"/>
    <n v="-28.980606890257814"/>
    <s v="2025-01"/>
  </r>
  <r>
    <s v="C0130"/>
    <x v="9"/>
    <x v="0"/>
    <x v="2"/>
    <n v="4242.08"/>
    <n v="4348.91"/>
    <n v="199475"/>
    <n v="6783"/>
    <n v="258"/>
    <n v="11404.9"/>
    <n v="3.4004261185612235E-2"/>
    <n v="0.64114845938375353"/>
    <n v="16.856240310077517"/>
    <n v="2.6224732174268954"/>
    <n v="7055.99"/>
    <n v="61.868056712465687"/>
    <s v="2025-03"/>
  </r>
  <r>
    <s v="C0131"/>
    <x v="88"/>
    <x v="4"/>
    <x v="0"/>
    <n v="9933.5400000000009"/>
    <n v="9176.4599999999991"/>
    <n v="197123"/>
    <n v="3693"/>
    <n v="271"/>
    <n v="8444.51"/>
    <n v="1.8734495720945807E-2"/>
    <n v="2.4848253452477658"/>
    <n v="33.861476014760143"/>
    <n v="0.9202361259134787"/>
    <n v="-731.94999999999891"/>
    <n v="-8.6677616581660626"/>
    <s v="2025-04"/>
  </r>
  <r>
    <s v="C0132"/>
    <x v="5"/>
    <x v="1"/>
    <x v="1"/>
    <n v="8434.89"/>
    <n v="7610.3"/>
    <n v="139183"/>
    <n v="5327"/>
    <n v="212"/>
    <n v="10159.620000000001"/>
    <n v="3.827335234906562E-2"/>
    <n v="1.4286277454477192"/>
    <n v="35.89764150943396"/>
    <n v="1.3349828521871674"/>
    <n v="2549.3200000000006"/>
    <n v="25.092670788868094"/>
    <s v="2025-04"/>
  </r>
  <r>
    <s v="C0133"/>
    <x v="81"/>
    <x v="1"/>
    <x v="3"/>
    <n v="9008.89"/>
    <n v="8366.5400000000009"/>
    <n v="144975"/>
    <n v="7116"/>
    <n v="119"/>
    <n v="5060.6099999999997"/>
    <n v="4.9084324883600622E-2"/>
    <n v="1.175736368746487"/>
    <n v="70.307058823529417"/>
    <n v="0.60486294214812808"/>
    <n v="-3305.9300000000012"/>
    <n v="-65.326709625914688"/>
    <s v="2024-12"/>
  </r>
  <r>
    <s v="C0134"/>
    <x v="65"/>
    <x v="1"/>
    <x v="1"/>
    <n v="8281.7999999999993"/>
    <n v="6881.66"/>
    <n v="77279"/>
    <n v="3326"/>
    <n v="210"/>
    <n v="9886.08"/>
    <n v="4.3038859198488592E-2"/>
    <n v="2.0690499098015636"/>
    <n v="32.769809523809521"/>
    <n v="1.4365836149998692"/>
    <n v="3004.42"/>
    <n v="30.390407522496275"/>
    <s v="2025-02"/>
  </r>
  <r>
    <s v="C0135"/>
    <x v="89"/>
    <x v="4"/>
    <x v="0"/>
    <n v="6536.77"/>
    <n v="6850.12"/>
    <n v="195662"/>
    <n v="9052"/>
    <n v="377"/>
    <n v="11159.76"/>
    <n v="4.6263454324293934E-2"/>
    <n v="0.75675209898365003"/>
    <n v="18.170079575596816"/>
    <n v="1.6291335042305828"/>
    <n v="4309.6400000000003"/>
    <n v="38.617676365799987"/>
    <s v="2025-01"/>
  </r>
  <r>
    <s v="C0136"/>
    <x v="90"/>
    <x v="1"/>
    <x v="3"/>
    <n v="9268.66"/>
    <n v="8497.14"/>
    <n v="168167"/>
    <n v="4467"/>
    <n v="63"/>
    <n v="1280.48"/>
    <n v="2.656288094572657E-2"/>
    <n v="1.9022028206850234"/>
    <n v="134.87523809523807"/>
    <n v="0.15069541045575335"/>
    <n v="-7216.66"/>
    <n v="-563.59021616893665"/>
    <s v="2025-02"/>
  </r>
  <r>
    <s v="C0137"/>
    <x v="91"/>
    <x v="4"/>
    <x v="1"/>
    <n v="9337.67"/>
    <n v="7725.86"/>
    <n v="163943"/>
    <n v="2848"/>
    <n v="536"/>
    <n v="15854.56"/>
    <n v="1.737189145007716E-2"/>
    <n v="2.7127317415730334"/>
    <n v="14.413917910447761"/>
    <n v="2.0521417680361798"/>
    <n v="8128.7"/>
    <n v="51.27042314640078"/>
    <s v="2024-12"/>
  </r>
  <r>
    <s v="C0138"/>
    <x v="92"/>
    <x v="4"/>
    <x v="2"/>
    <n v="9650.43"/>
    <n v="10472.469999999999"/>
    <n v="137121"/>
    <n v="1770"/>
    <n v="271"/>
    <n v="10082.049999999999"/>
    <n v="1.2908307261469796E-2"/>
    <n v="5.9166497175141242"/>
    <n v="38.643800738007378"/>
    <n v="0.96271939666573403"/>
    <n v="-390.42000000000007"/>
    <n v="-3.8724267386097084"/>
    <s v="2025-05"/>
  </r>
  <r>
    <s v="C0139"/>
    <x v="13"/>
    <x v="0"/>
    <x v="3"/>
    <n v="7422.86"/>
    <n v="6936.91"/>
    <n v="174799"/>
    <n v="5339"/>
    <n v="543"/>
    <n v="15636.4"/>
    <n v="3.054365299572652E-2"/>
    <n v="1.2992901292376848"/>
    <n v="12.775156537753222"/>
    <n v="2.2540871944424823"/>
    <n v="8699.49"/>
    <n v="55.636143869432864"/>
    <s v="2024-12"/>
  </r>
  <r>
    <s v="C0140"/>
    <x v="93"/>
    <x v="1"/>
    <x v="2"/>
    <n v="5300.65"/>
    <n v="5309.96"/>
    <n v="58780"/>
    <n v="1712"/>
    <n v="92"/>
    <n v="3916.55"/>
    <n v="2.9125552909152773E-2"/>
    <n v="3.1016121495327105"/>
    <n v="57.716956521739128"/>
    <n v="0.73758559386511391"/>
    <n v="-1393.4099999999999"/>
    <n v="-35.57748528679577"/>
    <s v="2025-05"/>
  </r>
  <r>
    <s v="C0141"/>
    <x v="77"/>
    <x v="4"/>
    <x v="1"/>
    <n v="8541.0499999999993"/>
    <n v="8856.09"/>
    <n v="198199"/>
    <n v="5993"/>
    <n v="1087"/>
    <n v="24714.23"/>
    <n v="3.0237286767339895E-2"/>
    <n v="1.4777390288670116"/>
    <n v="8.1472769089236436"/>
    <n v="2.7906480173530306"/>
    <n v="15858.14"/>
    <n v="64.166029044805356"/>
    <s v="2025-04"/>
  </r>
  <r>
    <s v="C0142"/>
    <x v="93"/>
    <x v="4"/>
    <x v="2"/>
    <n v="6460.94"/>
    <n v="5280.32"/>
    <n v="103994"/>
    <n v="4644"/>
    <n v="871"/>
    <n v="31779.19"/>
    <n v="4.4656422485912652E-2"/>
    <n v="1.1370198105081826"/>
    <n v="6.0623650975889776"/>
    <n v="6.0184212320465429"/>
    <n v="26498.87"/>
    <n v="83.384346800532043"/>
    <s v="2025-05"/>
  </r>
  <r>
    <s v="C0143"/>
    <x v="94"/>
    <x v="2"/>
    <x v="2"/>
    <n v="6090.71"/>
    <n v="6494.59"/>
    <n v="149870"/>
    <n v="2505"/>
    <n v="453"/>
    <n v="13828.94"/>
    <n v="1.6714485887769401E-2"/>
    <n v="2.5926506986027946"/>
    <n v="14.336843267108168"/>
    <n v="2.1293014647575905"/>
    <n v="7334.35"/>
    <n v="53.036241389434046"/>
    <s v="2025-05"/>
  </r>
  <r>
    <s v="C0144"/>
    <x v="95"/>
    <x v="0"/>
    <x v="2"/>
    <n v="3819.47"/>
    <n v="3219.42"/>
    <n v="77061"/>
    <n v="1539"/>
    <n v="244"/>
    <n v="10454.26"/>
    <n v="1.9971191653365517E-2"/>
    <n v="2.0918908382066279"/>
    <n v="13.194344262295083"/>
    <n v="3.2472495045691461"/>
    <n v="7234.84"/>
    <n v="69.204706980694951"/>
    <s v="2025-06"/>
  </r>
  <r>
    <s v="C0145"/>
    <x v="96"/>
    <x v="4"/>
    <x v="2"/>
    <n v="7327.53"/>
    <n v="6084.32"/>
    <n v="70716"/>
    <n v="2637"/>
    <n v="111"/>
    <n v="2500.08"/>
    <n v="3.7290005090785679E-2"/>
    <n v="2.3072885855138412"/>
    <n v="54.813693693693693"/>
    <n v="0.41090540931443448"/>
    <n v="-3584.24"/>
    <n v="-143.36501231960577"/>
    <s v="2025-04"/>
  </r>
  <r>
    <s v="C0146"/>
    <x v="97"/>
    <x v="3"/>
    <x v="3"/>
    <n v="7906.78"/>
    <n v="6498.02"/>
    <n v="81757"/>
    <n v="1390"/>
    <n v="160"/>
    <n v="7144.93"/>
    <n v="1.7001602309282386E-2"/>
    <n v="4.674834532374101"/>
    <n v="40.612625000000001"/>
    <n v="1.0995549413513654"/>
    <n v="646.90999999999985"/>
    <n v="9.0541124965534969"/>
    <s v="2025-05"/>
  </r>
  <r>
    <s v="C0147"/>
    <x v="98"/>
    <x v="2"/>
    <x v="0"/>
    <n v="7943.7"/>
    <n v="6548.82"/>
    <n v="127949"/>
    <n v="2073"/>
    <n v="179"/>
    <n v="4035.58"/>
    <n v="1.6201767891894425E-2"/>
    <n v="3.1591027496382051"/>
    <n v="36.585586592178771"/>
    <n v="0.61623009946830121"/>
    <n v="-2513.2399999999998"/>
    <n v="-62.277045678688069"/>
    <s v="2025-04"/>
  </r>
  <r>
    <s v="C0148"/>
    <x v="99"/>
    <x v="3"/>
    <x v="2"/>
    <n v="9906.48"/>
    <n v="9037.5"/>
    <n v="130404"/>
    <n v="3053"/>
    <n v="159"/>
    <n v="4947.96"/>
    <n v="2.3411858531946873E-2"/>
    <n v="2.9602030789387488"/>
    <n v="56.839622641509436"/>
    <n v="0.54749211618257265"/>
    <n v="-4089.54"/>
    <n v="-82.651031940436056"/>
    <s v="2025-02"/>
  </r>
  <r>
    <s v="C0149"/>
    <x v="19"/>
    <x v="1"/>
    <x v="2"/>
    <n v="8689.6"/>
    <n v="9421.0400000000009"/>
    <n v="162097"/>
    <n v="7152"/>
    <n v="1126"/>
    <n v="55827.12"/>
    <n v="4.4121729581670231E-2"/>
    <n v="1.3172595078299778"/>
    <n v="8.3668206039076392"/>
    <n v="5.9257916323463222"/>
    <n v="46406.080000000002"/>
    <n v="83.124617569382053"/>
    <s v="2025-05"/>
  </r>
  <r>
    <s v="C0150"/>
    <x v="100"/>
    <x v="3"/>
    <x v="3"/>
    <n v="8273.65"/>
    <n v="7552.83"/>
    <n v="154555"/>
    <n v="7368"/>
    <n v="692"/>
    <n v="15573.47"/>
    <n v="4.7672349648992265E-2"/>
    <n v="1.0250855048859935"/>
    <n v="10.914494219653179"/>
    <n v="2.0619383727688825"/>
    <n v="8020.6399999999994"/>
    <n v="51.501945295428698"/>
    <s v="2025-05"/>
  </r>
  <r>
    <s v="C0151"/>
    <x v="28"/>
    <x v="1"/>
    <x v="3"/>
    <n v="8440.0300000000007"/>
    <n v="8165.91"/>
    <n v="56338"/>
    <n v="2066"/>
    <n v="157"/>
    <n v="5138.09"/>
    <n v="3.6671518335759171E-2"/>
    <n v="3.9525217812197484"/>
    <n v="52.012165605095539"/>
    <n v="0.62921217598528523"/>
    <n v="-3027.8199999999997"/>
    <n v="-58.928901595729144"/>
    <s v="2025-05"/>
  </r>
  <r>
    <s v="C0152"/>
    <x v="14"/>
    <x v="1"/>
    <x v="3"/>
    <n v="9344.48"/>
    <n v="7787.31"/>
    <n v="168488"/>
    <n v="6718"/>
    <n v="131"/>
    <n v="4556.0200000000004"/>
    <n v="3.9872275770381271E-2"/>
    <n v="1.1591708841917239"/>
    <n v="59.445114503816797"/>
    <n v="0.58505697089238773"/>
    <n v="-3231.29"/>
    <n v="-70.923525357658647"/>
    <s v="2025-02"/>
  </r>
  <r>
    <s v="C0153"/>
    <x v="101"/>
    <x v="4"/>
    <x v="2"/>
    <n v="3079.48"/>
    <n v="2896.55"/>
    <n v="70782"/>
    <n v="3197"/>
    <n v="540"/>
    <n v="11712.11"/>
    <n v="4.5166850329179734E-2"/>
    <n v="0.90602126994056931"/>
    <n v="5.3639814814814821"/>
    <n v="4.0434689544458058"/>
    <n v="8815.5600000000013"/>
    <n v="75.268760283159921"/>
    <s v="2025-01"/>
  </r>
  <r>
    <s v="C0154"/>
    <x v="102"/>
    <x v="4"/>
    <x v="3"/>
    <n v="3831.73"/>
    <n v="3200.48"/>
    <n v="187830"/>
    <n v="5038"/>
    <n v="56"/>
    <n v="2210.67"/>
    <n v="2.6822126390885374E-2"/>
    <n v="0.63526796347757042"/>
    <n v="57.151428571428575"/>
    <n v="0.69073076538519229"/>
    <n v="-989.81"/>
    <n v="-44.774208724051981"/>
    <s v="2025-01"/>
  </r>
  <r>
    <s v="C0155"/>
    <x v="74"/>
    <x v="4"/>
    <x v="2"/>
    <n v="8222.31"/>
    <n v="8016.84"/>
    <n v="77085"/>
    <n v="2592"/>
    <n v="460"/>
    <n v="22477.98"/>
    <n v="3.3625218914185642E-2"/>
    <n v="3.0929166666666665"/>
    <n v="17.427913043478259"/>
    <n v="2.8038454054215873"/>
    <n v="14461.14"/>
    <n v="64.334695555383533"/>
    <s v="2025-01"/>
  </r>
  <r>
    <s v="C0156"/>
    <x v="18"/>
    <x v="0"/>
    <x v="0"/>
    <n v="5624.09"/>
    <n v="4981.33"/>
    <n v="181387"/>
    <n v="7602"/>
    <n v="1490"/>
    <n v="68626.38"/>
    <n v="4.1910390491049526E-2"/>
    <n v="0.65526571954748747"/>
    <n v="3.3431744966442953"/>
    <n v="13.776718266005265"/>
    <n v="63645.05"/>
    <n v="92.741377295436536"/>
    <s v="2025-06"/>
  </r>
  <r>
    <s v="C0157"/>
    <x v="39"/>
    <x v="1"/>
    <x v="3"/>
    <n v="4565.17"/>
    <n v="4971.32"/>
    <n v="161384"/>
    <n v="4375"/>
    <n v="117"/>
    <n v="2382.66"/>
    <n v="2.7109254944728101E-2"/>
    <n v="1.1363017142857141"/>
    <n v="42.489914529914529"/>
    <n v="0.47928115671491678"/>
    <n v="-2588.66"/>
    <n v="-108.64579923279025"/>
    <s v="2025-05"/>
  </r>
  <r>
    <s v="C0158"/>
    <x v="54"/>
    <x v="2"/>
    <x v="1"/>
    <n v="9789.15"/>
    <n v="7958.07"/>
    <n v="115218"/>
    <n v="1614"/>
    <n v="62"/>
    <n v="2897.53"/>
    <n v="1.4008227881060251E-2"/>
    <n v="4.9306505576208179"/>
    <n v="128.35596774193547"/>
    <n v="0.36409958696015493"/>
    <n v="-5060.5399999999991"/>
    <n v="-174.65013304435152"/>
    <s v="2025-02"/>
  </r>
  <r>
    <s v="C0159"/>
    <x v="96"/>
    <x v="4"/>
    <x v="3"/>
    <n v="6693.91"/>
    <n v="7349.17"/>
    <n v="86944"/>
    <n v="1292"/>
    <n v="250"/>
    <n v="5553.47"/>
    <n v="1.486013986013986E-2"/>
    <n v="5.6882120743034053"/>
    <n v="29.39668"/>
    <n v="0.75565948263545413"/>
    <n v="-1795.6999999999998"/>
    <n v="-32.334738460818187"/>
    <s v="2025-04"/>
  </r>
  <r>
    <s v="C0160"/>
    <x v="103"/>
    <x v="0"/>
    <x v="2"/>
    <n v="6876.98"/>
    <n v="7501.35"/>
    <n v="126890"/>
    <n v="3074"/>
    <n v="614"/>
    <n v="21915.46"/>
    <n v="2.4225707305540231E-2"/>
    <n v="2.4402569941444372"/>
    <n v="12.217182410423453"/>
    <n v="2.9215354569510819"/>
    <n v="14414.109999999999"/>
    <n v="65.771423460881039"/>
    <s v="2025-05"/>
  </r>
  <r>
    <s v="C0161"/>
    <x v="104"/>
    <x v="0"/>
    <x v="1"/>
    <n v="7405.79"/>
    <n v="7470.4"/>
    <n v="119094"/>
    <n v="5829"/>
    <n v="550"/>
    <n v="18499.93"/>
    <n v="4.8944531210640338E-2"/>
    <n v="1.281592039800995"/>
    <n v="13.582545454545453"/>
    <n v="2.4764309809381024"/>
    <n v="11029.53"/>
    <n v="59.619306667646853"/>
    <s v="2025-05"/>
  </r>
  <r>
    <s v="C0162"/>
    <x v="105"/>
    <x v="0"/>
    <x v="2"/>
    <n v="7392.91"/>
    <n v="7210.26"/>
    <n v="120570"/>
    <n v="1495"/>
    <n v="104"/>
    <n v="4891.6099999999997"/>
    <n v="1.2399436012275026E-2"/>
    <n v="4.8229163879598662"/>
    <n v="69.329423076923078"/>
    <n v="0.67842352425571328"/>
    <n v="-2318.6500000000005"/>
    <n v="-47.400549103464925"/>
    <s v="2025-03"/>
  </r>
  <r>
    <s v="C0163"/>
    <x v="106"/>
    <x v="4"/>
    <x v="0"/>
    <n v="3318.12"/>
    <n v="2934.18"/>
    <n v="173652"/>
    <n v="3397"/>
    <n v="329"/>
    <n v="15960.56"/>
    <n v="1.9562112731209544E-2"/>
    <n v="0.86375625551957602"/>
    <n v="8.9184802431610937"/>
    <n v="5.4395299538542288"/>
    <n v="13026.38"/>
    <n v="81.616058584410567"/>
    <s v="2025-03"/>
  </r>
  <r>
    <s v="C0164"/>
    <x v="60"/>
    <x v="3"/>
    <x v="3"/>
    <n v="9231.85"/>
    <n v="8647.4500000000007"/>
    <n v="53244"/>
    <n v="1838"/>
    <n v="273"/>
    <n v="10538.89"/>
    <n v="3.452032153857712E-2"/>
    <n v="4.7048150163220894"/>
    <n v="31.675641025641028"/>
    <n v="1.2187280643426672"/>
    <n v="1891.4399999999987"/>
    <n v="17.94724112311637"/>
    <s v="2025-02"/>
  </r>
  <r>
    <s v="C0165"/>
    <x v="46"/>
    <x v="0"/>
    <x v="2"/>
    <n v="4941.67"/>
    <n v="4232.2299999999996"/>
    <n v="197753"/>
    <n v="3883"/>
    <n v="619"/>
    <n v="20990.880000000001"/>
    <n v="1.9635606033789627E-2"/>
    <n v="1.0899381921194951"/>
    <n v="6.8372051696284322"/>
    <n v="4.959768254560835"/>
    <n v="16758.650000000001"/>
    <n v="79.837767640041776"/>
    <s v="2025-01"/>
  </r>
  <r>
    <s v="C0166"/>
    <x v="79"/>
    <x v="2"/>
    <x v="3"/>
    <n v="5473.47"/>
    <n v="5337.16"/>
    <n v="95888"/>
    <n v="2400"/>
    <n v="189"/>
    <n v="4220.76"/>
    <n v="2.5029200734189887E-2"/>
    <n v="2.2238166666666666"/>
    <n v="28.238941798941799"/>
    <n v="0.79082508300294541"/>
    <n v="-1116.3999999999996"/>
    <n v="-26.450212757891933"/>
    <s v="2025-02"/>
  </r>
  <r>
    <s v="C0167"/>
    <x v="75"/>
    <x v="3"/>
    <x v="2"/>
    <n v="9820.76"/>
    <n v="10762.21"/>
    <n v="130274"/>
    <n v="3999"/>
    <n v="83"/>
    <n v="3398.42"/>
    <n v="3.0696838970170563E-2"/>
    <n v="2.6912253063265816"/>
    <n v="129.66518072289156"/>
    <n v="0.31577343315174117"/>
    <n v="-7363.7899999999991"/>
    <n v="-216.68275257325459"/>
    <s v="2025-03"/>
  </r>
  <r>
    <s v="C0168"/>
    <x v="44"/>
    <x v="1"/>
    <x v="0"/>
    <n v="6752.67"/>
    <n v="6029.18"/>
    <n v="53089"/>
    <n v="1998"/>
    <n v="204"/>
    <n v="9060.43"/>
    <n v="3.7634914954133625E-2"/>
    <n v="3.0176076076076077"/>
    <n v="29.554803921568627"/>
    <n v="1.5027632281670145"/>
    <n v="3031.25"/>
    <n v="33.455917655122327"/>
    <s v="2025-05"/>
  </r>
  <r>
    <s v="C0169"/>
    <x v="88"/>
    <x v="4"/>
    <x v="1"/>
    <n v="7793.12"/>
    <n v="6614.68"/>
    <n v="110033"/>
    <n v="3132"/>
    <n v="85"/>
    <n v="4022.86"/>
    <n v="2.8464188016322375E-2"/>
    <n v="2.1119667943805878"/>
    <n v="77.819764705882363"/>
    <n v="0.60817152152485077"/>
    <n v="-2591.8200000000002"/>
    <n v="-64.427297991975863"/>
    <s v="2025-04"/>
  </r>
  <r>
    <s v="C0170"/>
    <x v="64"/>
    <x v="2"/>
    <x v="2"/>
    <n v="8757.76"/>
    <n v="9501.64"/>
    <n v="75315"/>
    <n v="1121"/>
    <n v="85"/>
    <n v="3550.58"/>
    <n v="1.4884153223129522E-2"/>
    <n v="8.4760392506690447"/>
    <n v="111.78399999999999"/>
    <n v="0.37368075405929924"/>
    <n v="-5951.0599999999995"/>
    <n v="-167.60810909766855"/>
    <s v="2024-12"/>
  </r>
  <r>
    <s v="C0171"/>
    <x v="95"/>
    <x v="1"/>
    <x v="0"/>
    <n v="7293.91"/>
    <n v="6750.32"/>
    <n v="194023"/>
    <n v="9171"/>
    <n v="1138"/>
    <n v="54603.35"/>
    <n v="4.726759198651706E-2"/>
    <n v="0.73605059426452946"/>
    <n v="5.9317398945518454"/>
    <n v="8.089001706585762"/>
    <n v="47853.03"/>
    <n v="87.637535059662085"/>
    <s v="2025-06"/>
  </r>
  <r>
    <s v="C0172"/>
    <x v="65"/>
    <x v="2"/>
    <x v="3"/>
    <n v="9062.4500000000007"/>
    <n v="7372.9"/>
    <n v="105156"/>
    <n v="3813"/>
    <n v="632"/>
    <n v="13139.92"/>
    <n v="3.6260413100536348E-2"/>
    <n v="1.9336218200891686"/>
    <n v="11.665981012658227"/>
    <n v="1.7821915392857628"/>
    <n v="5767.02"/>
    <n v="43.889308306291063"/>
    <s v="2025-02"/>
  </r>
  <r>
    <s v="C0173"/>
    <x v="107"/>
    <x v="3"/>
    <x v="2"/>
    <n v="5635.24"/>
    <n v="5878.49"/>
    <n v="136337"/>
    <n v="3490"/>
    <n v="132"/>
    <n v="6549.61"/>
    <n v="2.5598333541151704E-2"/>
    <n v="1.6843810888252149"/>
    <n v="44.534015151515149"/>
    <n v="1.1141653724000551"/>
    <n v="671.11999999999989"/>
    <n v="10.246716980094996"/>
    <s v="2025-05"/>
  </r>
  <r>
    <s v="C0174"/>
    <x v="108"/>
    <x v="1"/>
    <x v="3"/>
    <n v="4052.92"/>
    <n v="3964.73"/>
    <n v="191309"/>
    <n v="5182"/>
    <n v="356"/>
    <n v="11187.91"/>
    <n v="2.7087068564469002E-2"/>
    <n v="0.76509648784253181"/>
    <n v="11.136882022471911"/>
    <n v="2.8218592438829377"/>
    <n v="7223.18"/>
    <n v="64.562371345497056"/>
    <s v="2025-02"/>
  </r>
  <r>
    <s v="C0175"/>
    <x v="109"/>
    <x v="4"/>
    <x v="3"/>
    <n v="9789.4"/>
    <n v="10304.67"/>
    <n v="143568"/>
    <n v="6593"/>
    <n v="869"/>
    <n v="39235.230000000003"/>
    <n v="4.5922489691296108E-2"/>
    <n v="1.5629713332322159"/>
    <n v="11.858078250863061"/>
    <n v="3.8075193092064086"/>
    <n v="28930.560000000005"/>
    <n v="73.736180468420869"/>
    <s v="2024-12"/>
  </r>
  <r>
    <s v="C0176"/>
    <x v="110"/>
    <x v="1"/>
    <x v="0"/>
    <n v="6280.85"/>
    <n v="5806.31"/>
    <n v="69711"/>
    <n v="1173"/>
    <n v="209"/>
    <n v="5894.26"/>
    <n v="1.6826612729698327E-2"/>
    <n v="4.9499658994032396"/>
    <n v="27.781387559808614"/>
    <n v="1.0151473138705993"/>
    <n v="87.949999999999818"/>
    <n v="1.4921296312005208"/>
    <s v="2025-05"/>
  </r>
  <r>
    <s v="C0177"/>
    <x v="21"/>
    <x v="1"/>
    <x v="2"/>
    <n v="3394.63"/>
    <n v="3596.33"/>
    <n v="114949"/>
    <n v="3456"/>
    <n v="294"/>
    <n v="13049.79"/>
    <n v="3.0065507311938338E-2"/>
    <n v="1.0406047453703704"/>
    <n v="12.232414965986393"/>
    <n v="3.6286408644368011"/>
    <n v="9453.4600000000009"/>
    <n v="72.441472238250583"/>
    <s v="2025-04"/>
  </r>
  <r>
    <s v="C0178"/>
    <x v="27"/>
    <x v="1"/>
    <x v="2"/>
    <n v="9998.02"/>
    <n v="10987.73"/>
    <n v="128670"/>
    <n v="4786"/>
    <n v="820"/>
    <n v="30063.62"/>
    <n v="3.7195927566643354E-2"/>
    <n v="2.29580651901379"/>
    <n v="13.399670731707317"/>
    <n v="2.7361083681524754"/>
    <n v="19075.89"/>
    <n v="63.451740010018753"/>
    <s v="2025-04"/>
  </r>
  <r>
    <s v="C0179"/>
    <x v="13"/>
    <x v="1"/>
    <x v="1"/>
    <n v="8382.91"/>
    <n v="9082.2900000000009"/>
    <n v="92405"/>
    <n v="3028"/>
    <n v="356"/>
    <n v="16194.23"/>
    <n v="3.2768789567664089E-2"/>
    <n v="2.9994352708058125"/>
    <n v="25.512050561797754"/>
    <n v="1.7830558152184084"/>
    <n v="7111.9399999999987"/>
    <n v="43.91650606419693"/>
    <s v="2024-12"/>
  </r>
  <r>
    <s v="C0180"/>
    <x v="108"/>
    <x v="1"/>
    <x v="0"/>
    <n v="4731.4399999999996"/>
    <n v="4424.67"/>
    <n v="113689"/>
    <n v="4258"/>
    <n v="100"/>
    <n v="2387.48"/>
    <n v="3.745305174643105E-2"/>
    <n v="1.0391427900422734"/>
    <n v="44.246700000000004"/>
    <n v="0.53958374296840217"/>
    <n v="-2037.19"/>
    <n v="-85.328044632834619"/>
    <s v="2025-02"/>
  </r>
  <r>
    <s v="C0181"/>
    <x v="111"/>
    <x v="4"/>
    <x v="2"/>
    <n v="9678.36"/>
    <n v="9502.7199999999993"/>
    <n v="72317"/>
    <n v="1429"/>
    <n v="157"/>
    <n v="4216.91"/>
    <n v="1.9760222354356514E-2"/>
    <n v="6.6499090272918124"/>
    <n v="60.526878980891716"/>
    <n v="0.44375820817618539"/>
    <n v="-5285.8099999999995"/>
    <n v="-125.34794434787557"/>
    <s v="2025-02"/>
  </r>
  <r>
    <s v="C0182"/>
    <x v="90"/>
    <x v="2"/>
    <x v="1"/>
    <n v="7701.9"/>
    <n v="7589.75"/>
    <n v="59223"/>
    <n v="1286"/>
    <n v="233"/>
    <n v="7163.56"/>
    <n v="2.1714536582071155E-2"/>
    <n v="5.9018273716951786"/>
    <n v="32.574034334763951"/>
    <n v="0.94384663526466617"/>
    <n v="-426.1899999999996"/>
    <n v="-5.9494162120509859"/>
    <s v="2025-02"/>
  </r>
  <r>
    <s v="C0183"/>
    <x v="112"/>
    <x v="2"/>
    <x v="3"/>
    <n v="3794.9"/>
    <n v="3800.49"/>
    <n v="123058"/>
    <n v="4679"/>
    <n v="186"/>
    <n v="6623.32"/>
    <n v="3.8022720993352729E-2"/>
    <n v="0.81224406924556525"/>
    <n v="20.432741935483868"/>
    <n v="1.7427542237974578"/>
    <n v="2822.83"/>
    <n v="42.619562394690277"/>
    <s v="2025-02"/>
  </r>
  <r>
    <s v="C0184"/>
    <x v="113"/>
    <x v="2"/>
    <x v="2"/>
    <n v="8406.23"/>
    <n v="8036.77"/>
    <n v="133482"/>
    <n v="2397"/>
    <n v="50"/>
    <n v="2278.27"/>
    <n v="1.7957477412684858E-2"/>
    <n v="3.3528452231956614"/>
    <n v="160.7354"/>
    <n v="0.28348080136671822"/>
    <n v="-5758.5"/>
    <n v="-252.75757482651309"/>
    <s v="2025-01"/>
  </r>
  <r>
    <s v="C0185"/>
    <x v="114"/>
    <x v="0"/>
    <x v="1"/>
    <n v="6863.35"/>
    <n v="6645.65"/>
    <n v="130705"/>
    <n v="4818"/>
    <n v="159"/>
    <n v="7361.64"/>
    <n v="3.6861634979534062E-2"/>
    <n v="1.3793378995433789"/>
    <n v="41.796540880503144"/>
    <n v="1.1077381445005381"/>
    <n v="715.99000000000069"/>
    <n v="9.7259578028808882"/>
    <s v="2025-04"/>
  </r>
  <r>
    <s v="C0186"/>
    <x v="115"/>
    <x v="3"/>
    <x v="0"/>
    <n v="5824.38"/>
    <n v="4893.67"/>
    <n v="168213"/>
    <n v="2627"/>
    <n v="160"/>
    <n v="3338.16"/>
    <n v="1.5617104504408102E-2"/>
    <n v="1.8628359345260754"/>
    <n v="30.585437500000001"/>
    <n v="0.68213835424129532"/>
    <n v="-1555.5100000000002"/>
    <n v="-46.597826347448901"/>
    <s v="2025-03"/>
  </r>
  <r>
    <s v="C0187"/>
    <x v="33"/>
    <x v="0"/>
    <x v="0"/>
    <n v="8285.9599999999991"/>
    <n v="8170.73"/>
    <n v="55771"/>
    <n v="1773"/>
    <n v="177"/>
    <n v="7278.66"/>
    <n v="3.1790715604884258E-2"/>
    <n v="4.6084207557811618"/>
    <n v="46.162316384180791"/>
    <n v="0.89082126076862167"/>
    <n v="-892.06999999999971"/>
    <n v="-12.255964696798582"/>
    <s v="2025-04"/>
  </r>
  <r>
    <s v="C0188"/>
    <x v="15"/>
    <x v="2"/>
    <x v="1"/>
    <n v="4490.75"/>
    <n v="3776.32"/>
    <n v="158774"/>
    <n v="5263"/>
    <n v="268"/>
    <n v="5476.94"/>
    <n v="3.314774459294343E-2"/>
    <n v="0.71752232566977014"/>
    <n v="14.090746268656718"/>
    <n v="1.4503378950936359"/>
    <n v="1700.6199999999994"/>
    <n v="31.050550124704664"/>
    <s v="2025-03"/>
  </r>
  <r>
    <s v="C0189"/>
    <x v="116"/>
    <x v="0"/>
    <x v="3"/>
    <n v="5454.11"/>
    <n v="5328.53"/>
    <n v="167161"/>
    <n v="1156"/>
    <n v="85"/>
    <n v="2700.22"/>
    <n v="6.9154886606325634E-3"/>
    <n v="4.6094550173010376"/>
    <n v="62.688588235294112"/>
    <n v="0.50674763959290836"/>
    <n v="-2628.31"/>
    <n v="-97.336883661331314"/>
    <s v="2024-12"/>
  </r>
  <r>
    <s v="C0190"/>
    <x v="117"/>
    <x v="1"/>
    <x v="2"/>
    <n v="6062.32"/>
    <n v="6494.25"/>
    <n v="54315"/>
    <n v="1126"/>
    <n v="180"/>
    <n v="5480.58"/>
    <n v="2.0730921476571851E-2"/>
    <n v="5.767539964476021"/>
    <n v="36.079166666666666"/>
    <n v="0.84391269199676633"/>
    <n v="-1013.6700000000001"/>
    <n v="-18.495670166296268"/>
    <s v="2025-05"/>
  </r>
  <r>
    <s v="C0191"/>
    <x v="22"/>
    <x v="3"/>
    <x v="0"/>
    <n v="6597.93"/>
    <n v="6829.49"/>
    <n v="112474"/>
    <n v="3364"/>
    <n v="62"/>
    <n v="1977.57"/>
    <n v="2.9909134555541724E-2"/>
    <n v="2.0301694411414983"/>
    <n v="110.15306451612904"/>
    <n v="0.28956334953268836"/>
    <n v="-4851.92"/>
    <n v="-245.34757303154882"/>
    <s v="2025-02"/>
  </r>
  <r>
    <s v="C0192"/>
    <x v="85"/>
    <x v="1"/>
    <x v="3"/>
    <n v="7354.61"/>
    <n v="7786.39"/>
    <n v="76227"/>
    <n v="3059"/>
    <n v="504"/>
    <n v="24436.75"/>
    <n v="4.0130137615280677E-2"/>
    <n v="2.5454037267080745"/>
    <n v="15.449186507936508"/>
    <n v="3.138392759674252"/>
    <n v="16650.36"/>
    <n v="68.136556620663555"/>
    <s v="2025-01"/>
  </r>
  <r>
    <s v="C0193"/>
    <x v="52"/>
    <x v="2"/>
    <x v="3"/>
    <n v="4029.51"/>
    <n v="4343.72"/>
    <n v="85573"/>
    <n v="1887"/>
    <n v="171"/>
    <n v="5944.56"/>
    <n v="2.2051347971907026E-2"/>
    <n v="2.3019183889772128"/>
    <n v="25.401871345029242"/>
    <n v="1.368541250356837"/>
    <n v="1600.8400000000001"/>
    <n v="26.929495202336255"/>
    <s v="2025-03"/>
  </r>
  <r>
    <s v="C0194"/>
    <x v="118"/>
    <x v="4"/>
    <x v="1"/>
    <n v="4807.71"/>
    <n v="4508.3900000000003"/>
    <n v="156215"/>
    <n v="6524"/>
    <n v="641"/>
    <n v="31666.03"/>
    <n v="4.1762954901898026E-2"/>
    <n v="0.69104690374003686"/>
    <n v="7.0333697347893924"/>
    <n v="7.0238000705351569"/>
    <n v="27157.64"/>
    <n v="85.762692702558553"/>
    <s v="2024-12"/>
  </r>
  <r>
    <s v="C0195"/>
    <x v="119"/>
    <x v="1"/>
    <x v="3"/>
    <n v="6448.33"/>
    <n v="5794.63"/>
    <n v="83163"/>
    <n v="2401"/>
    <n v="165"/>
    <n v="6435.33"/>
    <n v="2.8871012349241849E-2"/>
    <n v="2.4134235735110372"/>
    <n v="35.1189696969697"/>
    <n v="1.1105678878547898"/>
    <n v="640.69999999999982"/>
    <n v="9.9559773935446945"/>
    <s v="2025-06"/>
  </r>
  <r>
    <s v="C0196"/>
    <x v="120"/>
    <x v="3"/>
    <x v="3"/>
    <n v="4681.0200000000004"/>
    <n v="3851.35"/>
    <n v="122395"/>
    <n v="3701"/>
    <n v="421"/>
    <n v="10047.75"/>
    <n v="3.0238163323665183E-2"/>
    <n v="1.0406241556336124"/>
    <n v="9.1480997624703093"/>
    <n v="2.6088903890843471"/>
    <n v="6196.4"/>
    <n v="61.669528003781934"/>
    <s v="2025-04"/>
  </r>
  <r>
    <s v="C0197"/>
    <x v="87"/>
    <x v="0"/>
    <x v="2"/>
    <n v="3896.32"/>
    <n v="3294.61"/>
    <n v="148880"/>
    <n v="1344"/>
    <n v="233"/>
    <n v="5630.4"/>
    <n v="9.0274046211714139E-3"/>
    <n v="2.4513467261904762"/>
    <n v="14.139957081545065"/>
    <n v="1.7089731409787499"/>
    <n v="2335.7899999999995"/>
    <n v="41.485329639102012"/>
    <s v="2025-01"/>
  </r>
  <r>
    <s v="C0198"/>
    <x v="121"/>
    <x v="3"/>
    <x v="3"/>
    <n v="7486.12"/>
    <n v="6397.37"/>
    <n v="150378"/>
    <n v="1516"/>
    <n v="269"/>
    <n v="8169.53"/>
    <n v="1.0081261886712153E-2"/>
    <n v="4.2199010554089709"/>
    <n v="23.782044609665427"/>
    <n v="1.2770138353729736"/>
    <n v="1772.1599999999999"/>
    <n v="21.692312776867212"/>
    <s v="2024-12"/>
  </r>
  <r>
    <s v="C0199"/>
    <x v="42"/>
    <x v="2"/>
    <x v="2"/>
    <n v="9277.52"/>
    <n v="8741.17"/>
    <n v="141253"/>
    <n v="2934"/>
    <n v="357"/>
    <n v="14289.54"/>
    <n v="2.0771240256844101E-2"/>
    <n v="2.9792672119972732"/>
    <n v="24.485070028011204"/>
    <n v="1.6347399718801947"/>
    <n v="5548.3700000000008"/>
    <n v="38.828191810233221"/>
    <s v="2025-03"/>
  </r>
  <r>
    <s v="C0200"/>
    <x v="122"/>
    <x v="4"/>
    <x v="1"/>
    <n v="4206.24"/>
    <n v="3607.64"/>
    <n v="171015"/>
    <n v="7567"/>
    <n v="1110"/>
    <n v="23560.92"/>
    <n v="4.4247580621582905E-2"/>
    <n v="0.47675961411391565"/>
    <n v="3.2501261261261258"/>
    <n v="6.5308401059972718"/>
    <n v="19953.28"/>
    <n v="84.688034253331367"/>
    <s v="2025-04"/>
  </r>
  <r>
    <s v="C0201"/>
    <x v="3"/>
    <x v="3"/>
    <x v="1"/>
    <n v="4182.55"/>
    <n v="3695.61"/>
    <n v="127713"/>
    <n v="1869"/>
    <n v="349"/>
    <n v="8833.2999999999993"/>
    <n v="1.4634375513847454E-2"/>
    <n v="1.977319422150883"/>
    <n v="10.589140401146132"/>
    <n v="2.390214335387121"/>
    <n v="5137.6899999999987"/>
    <n v="58.162747783953897"/>
    <s v="2025-05"/>
  </r>
  <r>
    <s v="C0202"/>
    <x v="95"/>
    <x v="2"/>
    <x v="1"/>
    <n v="3620.92"/>
    <n v="3027.78"/>
    <n v="95400"/>
    <n v="1371"/>
    <n v="250"/>
    <n v="8455.84"/>
    <n v="1.4371069182389937E-2"/>
    <n v="2.2084463894967179"/>
    <n v="12.111120000000001"/>
    <n v="2.7927524456862782"/>
    <n v="5428.0599999999995"/>
    <n v="64.193031088573093"/>
    <s v="2025-06"/>
  </r>
  <r>
    <s v="C0203"/>
    <x v="123"/>
    <x v="0"/>
    <x v="0"/>
    <n v="4444.34"/>
    <n v="4041.15"/>
    <n v="154562"/>
    <n v="4028"/>
    <n v="250"/>
    <n v="8775.6299999999992"/>
    <n v="2.6060739379666412E-2"/>
    <n v="1.003264647467726"/>
    <n v="16.1646"/>
    <n v="2.1715674993504321"/>
    <n v="4734.4799999999996"/>
    <n v="53.950314678262416"/>
    <s v="2024-12"/>
  </r>
  <r>
    <s v="C0204"/>
    <x v="0"/>
    <x v="2"/>
    <x v="3"/>
    <n v="7832.76"/>
    <n v="6358.58"/>
    <n v="100148"/>
    <n v="1610"/>
    <n v="112"/>
    <n v="4926.0200000000004"/>
    <n v="1.607620721332428E-2"/>
    <n v="3.9494285714285713"/>
    <n v="56.773035714285712"/>
    <n v="0.77470441513671295"/>
    <n v="-1432.5599999999995"/>
    <n v="-29.081489721925596"/>
    <s v="2025-05"/>
  </r>
  <r>
    <s v="C0205"/>
    <x v="90"/>
    <x v="0"/>
    <x v="1"/>
    <n v="7395.3"/>
    <n v="6097.63"/>
    <n v="109858"/>
    <n v="3804"/>
    <n v="713"/>
    <n v="32945.85"/>
    <n v="3.4626517868521181E-2"/>
    <n v="1.6029521556256572"/>
    <n v="8.552075736325385"/>
    <n v="5.4030582373807521"/>
    <n v="26848.219999999998"/>
    <n v="81.491963327702877"/>
    <s v="2025-02"/>
  </r>
  <r>
    <s v="C0206"/>
    <x v="96"/>
    <x v="4"/>
    <x v="1"/>
    <n v="9446.11"/>
    <n v="7729.97"/>
    <n v="158340"/>
    <n v="2273"/>
    <n v="434"/>
    <n v="12284.95"/>
    <n v="1.4355185044840218E-2"/>
    <n v="3.4007787065552133"/>
    <n v="17.810990783410137"/>
    <n v="1.5892623127903471"/>
    <n v="4554.9800000000005"/>
    <n v="37.077725184066686"/>
    <s v="2025-04"/>
  </r>
  <r>
    <s v="C0207"/>
    <x v="51"/>
    <x v="2"/>
    <x v="3"/>
    <n v="8643.41"/>
    <n v="8854.98"/>
    <n v="114026"/>
    <n v="4773"/>
    <n v="185"/>
    <n v="4724.09"/>
    <n v="4.1858874291828177E-2"/>
    <n v="1.8552231301068509"/>
    <n v="47.864756756756755"/>
    <n v="0.53349527610451974"/>
    <n v="-4130.8899999999994"/>
    <n v="-87.44308427654849"/>
    <s v="2025-04"/>
  </r>
  <r>
    <s v="C0208"/>
    <x v="124"/>
    <x v="4"/>
    <x v="1"/>
    <n v="4465.45"/>
    <n v="4068.66"/>
    <n v="188606"/>
    <n v="1714"/>
    <n v="194"/>
    <n v="6699.92"/>
    <n v="9.0877278559536815E-3"/>
    <n v="2.3737806301050175"/>
    <n v="20.972474226804124"/>
    <n v="1.6467141515879922"/>
    <n v="2631.26"/>
    <n v="39.273006244850691"/>
    <s v="2025-05"/>
  </r>
  <r>
    <s v="C0209"/>
    <x v="28"/>
    <x v="3"/>
    <x v="1"/>
    <n v="7327.78"/>
    <n v="6673.22"/>
    <n v="137418"/>
    <n v="4255"/>
    <n v="107"/>
    <n v="3624.74"/>
    <n v="3.096392030156166E-2"/>
    <n v="1.5683243243243243"/>
    <n v="62.366542056074771"/>
    <n v="0.5431770569530151"/>
    <n v="-3048.4800000000005"/>
    <n v="-84.102032145753924"/>
    <s v="2025-05"/>
  </r>
  <r>
    <s v="C0210"/>
    <x v="109"/>
    <x v="3"/>
    <x v="3"/>
    <n v="8232.2999999999993"/>
    <n v="6676.44"/>
    <n v="195298"/>
    <n v="3830"/>
    <n v="340"/>
    <n v="9374.86"/>
    <n v="1.9611055924791856E-2"/>
    <n v="1.743195822454308"/>
    <n v="19.636588235294116"/>
    <n v="1.4041704860674253"/>
    <n v="2698.420000000001"/>
    <n v="28.783576501409097"/>
    <s v="2024-12"/>
  </r>
  <r>
    <s v="C0211"/>
    <x v="6"/>
    <x v="3"/>
    <x v="1"/>
    <n v="7993.45"/>
    <n v="8541.5"/>
    <n v="191329"/>
    <n v="5806"/>
    <n v="454"/>
    <n v="16049.05"/>
    <n v="3.0345635005670859E-2"/>
    <n v="1.4711505339304167"/>
    <n v="18.81387665198238"/>
    <n v="1.8789498331674763"/>
    <n v="7507.5499999999993"/>
    <n v="46.778781298581535"/>
    <s v="2025-03"/>
  </r>
  <r>
    <s v="C0212"/>
    <x v="100"/>
    <x v="4"/>
    <x v="0"/>
    <n v="6724.79"/>
    <n v="5596.04"/>
    <n v="118663"/>
    <n v="2481"/>
    <n v="397"/>
    <n v="13268.68"/>
    <n v="2.0907949402930989E-2"/>
    <n v="2.2555582426440952"/>
    <n v="14.095818639798489"/>
    <n v="2.3710838378567702"/>
    <n v="7672.64"/>
    <n v="57.825194367487953"/>
    <s v="2025-05"/>
  </r>
  <r>
    <s v="C0213"/>
    <x v="88"/>
    <x v="4"/>
    <x v="3"/>
    <n v="6728.32"/>
    <n v="5872.08"/>
    <n v="55825"/>
    <n v="2436"/>
    <n v="144"/>
    <n v="4043.13"/>
    <n v="4.363636363636364E-2"/>
    <n v="2.4105418719211822"/>
    <n v="40.778333333333336"/>
    <n v="0.68853455674990804"/>
    <n v="-1828.9499999999998"/>
    <n v="-45.235992906485812"/>
    <s v="2025-04"/>
  </r>
  <r>
    <s v="C0214"/>
    <x v="125"/>
    <x v="3"/>
    <x v="2"/>
    <n v="5640.99"/>
    <n v="4546.76"/>
    <n v="53730"/>
    <n v="2251"/>
    <n v="253"/>
    <n v="7504.58"/>
    <n v="4.1894658477573052E-2"/>
    <n v="2.0198844957796536"/>
    <n v="17.971383399209486"/>
    <n v="1.6505335667596266"/>
    <n v="2957.8199999999997"/>
    <n v="39.413531470115579"/>
    <s v="2025-01"/>
  </r>
  <r>
    <s v="C0215"/>
    <x v="64"/>
    <x v="0"/>
    <x v="0"/>
    <n v="4480.1400000000003"/>
    <n v="4024.28"/>
    <n v="177951"/>
    <n v="3898"/>
    <n v="283"/>
    <n v="6676.78"/>
    <n v="2.1904906406819854E-2"/>
    <n v="1.032396100564392"/>
    <n v="14.220070671378092"/>
    <n v="1.659124116612164"/>
    <n v="2652.4999999999995"/>
    <n v="39.727233786346105"/>
    <s v="2024-12"/>
  </r>
  <r>
    <s v="C0216"/>
    <x v="98"/>
    <x v="0"/>
    <x v="0"/>
    <n v="9233.69"/>
    <n v="9031.27"/>
    <n v="52910"/>
    <n v="1772"/>
    <n v="184"/>
    <n v="7428.64"/>
    <n v="3.349083349083349E-2"/>
    <n v="5.0966534988713317"/>
    <n v="49.082989130434783"/>
    <n v="0.82254655214604366"/>
    <n v="-1602.63"/>
    <n v="-21.573666243080833"/>
    <s v="2025-04"/>
  </r>
  <r>
    <s v="C0217"/>
    <x v="126"/>
    <x v="4"/>
    <x v="2"/>
    <n v="8524.2000000000007"/>
    <n v="8094.01"/>
    <n v="57737"/>
    <n v="1530"/>
    <n v="286"/>
    <n v="6465.78"/>
    <n v="2.6499471742556766E-2"/>
    <n v="5.2902026143790852"/>
    <n v="28.300734265734267"/>
    <n v="0.79883518799704967"/>
    <n v="-1628.2300000000005"/>
    <n v="-25.182267259325258"/>
    <s v="2024-12"/>
  </r>
  <r>
    <s v="C0218"/>
    <x v="127"/>
    <x v="2"/>
    <x v="3"/>
    <n v="6759.75"/>
    <n v="6597.87"/>
    <n v="167465"/>
    <n v="5881"/>
    <n v="966"/>
    <n v="40922.839999999997"/>
    <n v="3.5117785805989309E-2"/>
    <n v="1.1218959360652949"/>
    <n v="6.8300931677018628"/>
    <n v="6.2024319969929689"/>
    <n v="34324.969999999994"/>
    <n v="83.877291996352156"/>
    <s v="2025-02"/>
  </r>
  <r>
    <s v="C0219"/>
    <x v="45"/>
    <x v="4"/>
    <x v="0"/>
    <n v="6021.62"/>
    <n v="5047.7700000000004"/>
    <n v="133310"/>
    <n v="4783"/>
    <n v="857"/>
    <n v="24435.88"/>
    <n v="3.5878778786287598E-2"/>
    <n v="1.0553564708342045"/>
    <n v="5.8900466744457418"/>
    <n v="4.840925794955"/>
    <n v="19388.11"/>
    <n v="79.342794284470202"/>
    <s v="2025-03"/>
  </r>
  <r>
    <s v="C0220"/>
    <x v="128"/>
    <x v="4"/>
    <x v="0"/>
    <n v="5541.58"/>
    <n v="5507.08"/>
    <n v="113210"/>
    <n v="1277"/>
    <n v="208"/>
    <n v="7721.66"/>
    <n v="1.1279922268350853E-2"/>
    <n v="4.3125137039937353"/>
    <n v="26.476346153846155"/>
    <n v="1.4021332539204079"/>
    <n v="2214.58"/>
    <n v="28.680102465014002"/>
    <s v="2025-02"/>
  </r>
  <r>
    <s v="C0221"/>
    <x v="9"/>
    <x v="3"/>
    <x v="1"/>
    <n v="5492.68"/>
    <n v="6019.73"/>
    <n v="186208"/>
    <n v="1504"/>
    <n v="92"/>
    <n v="3511.94"/>
    <n v="8.0769891733974905E-3"/>
    <n v="4.0024800531914888"/>
    <n v="65.431847826086951"/>
    <n v="0.58340490354218555"/>
    <n v="-2507.7899999999995"/>
    <n v="-71.407541131112708"/>
    <s v="2025-03"/>
  </r>
  <r>
    <s v="C0222"/>
    <x v="110"/>
    <x v="4"/>
    <x v="1"/>
    <n v="4660.59"/>
    <n v="3870.78"/>
    <n v="197176"/>
    <n v="7746"/>
    <n v="512"/>
    <n v="12587.92"/>
    <n v="3.9284699963484403E-2"/>
    <n v="0.49971340046475604"/>
    <n v="7.5601171875000004"/>
    <n v="3.2520370571306039"/>
    <n v="8717.14"/>
    <n v="69.250042898270721"/>
    <s v="2025-05"/>
  </r>
  <r>
    <s v="C0223"/>
    <x v="129"/>
    <x v="4"/>
    <x v="0"/>
    <n v="4721.7"/>
    <n v="4004.97"/>
    <n v="138708"/>
    <n v="3409"/>
    <n v="272"/>
    <n v="6962.39"/>
    <n v="2.4576808835827781E-2"/>
    <n v="1.1748225286007625"/>
    <n v="14.724154411764705"/>
    <n v="1.7384374914169147"/>
    <n v="2957.4200000000005"/>
    <n v="42.477080427841599"/>
    <s v="2025-01"/>
  </r>
  <r>
    <s v="C0224"/>
    <x v="2"/>
    <x v="1"/>
    <x v="1"/>
    <n v="4995.67"/>
    <n v="4256.37"/>
    <n v="198805"/>
    <n v="7934"/>
    <n v="818"/>
    <n v="38366.620000000003"/>
    <n v="3.9908453006715125E-2"/>
    <n v="0.53647214519788256"/>
    <n v="5.2033863080684597"/>
    <n v="9.0139297100581022"/>
    <n v="34110.25"/>
    <n v="88.906059486084516"/>
    <s v="2025-04"/>
  </r>
  <r>
    <s v="C0225"/>
    <x v="44"/>
    <x v="0"/>
    <x v="3"/>
    <n v="3561.64"/>
    <n v="3409.75"/>
    <n v="89656"/>
    <n v="1499"/>
    <n v="94"/>
    <n v="3037.32"/>
    <n v="1.6719461051128759E-2"/>
    <n v="2.2746831220813877"/>
    <n v="36.273936170212764"/>
    <n v="0.8907749835031894"/>
    <n v="-372.42999999999984"/>
    <n v="-12.261796583830476"/>
    <s v="2025-05"/>
  </r>
  <r>
    <s v="C0226"/>
    <x v="116"/>
    <x v="2"/>
    <x v="3"/>
    <n v="9876.65"/>
    <n v="8233.2900000000009"/>
    <n v="99291"/>
    <n v="1323"/>
    <n v="252"/>
    <n v="8047.79"/>
    <n v="1.3324470495815331E-2"/>
    <n v="6.2231972789115657"/>
    <n v="32.671785714285718"/>
    <n v="0.97746951704604101"/>
    <n v="-185.50000000000091"/>
    <n v="-2.3049806220092837"/>
    <s v="2024-12"/>
  </r>
  <r>
    <s v="C0227"/>
    <x v="76"/>
    <x v="3"/>
    <x v="2"/>
    <n v="9786.2900000000009"/>
    <n v="10370.06"/>
    <n v="111502"/>
    <n v="5082"/>
    <n v="149"/>
    <n v="6632.31"/>
    <n v="4.5577657799860095E-2"/>
    <n v="2.040547028728847"/>
    <n v="69.597718120805368"/>
    <n v="0.63956331978792802"/>
    <n v="-3737.7499999999991"/>
    <n v="-56.35668417187977"/>
    <s v="2025-02"/>
  </r>
  <r>
    <s v="C0228"/>
    <x v="22"/>
    <x v="3"/>
    <x v="0"/>
    <n v="4805.32"/>
    <n v="4090.61"/>
    <n v="85109"/>
    <n v="1336"/>
    <n v="153"/>
    <n v="6129.07"/>
    <n v="1.5697517301342983E-2"/>
    <n v="3.0618338323353296"/>
    <n v="26.736013071895425"/>
    <n v="1.4983266554376975"/>
    <n v="2038.4599999999996"/>
    <n v="33.258879405847864"/>
    <s v="2025-02"/>
  </r>
  <r>
    <s v="C0229"/>
    <x v="53"/>
    <x v="0"/>
    <x v="0"/>
    <n v="9505.6299999999992"/>
    <n v="9192.2199999999993"/>
    <n v="92367"/>
    <n v="1602"/>
    <n v="166"/>
    <n v="6166.63"/>
    <n v="1.7343856572152393E-2"/>
    <n v="5.7379650436953806"/>
    <n v="55.374819277108429"/>
    <n v="0.67085317801358113"/>
    <n v="-3025.5899999999992"/>
    <n v="-49.063913352998298"/>
    <s v="2024-12"/>
  </r>
  <r>
    <s v="C0230"/>
    <x v="130"/>
    <x v="2"/>
    <x v="1"/>
    <n v="4959.8500000000004"/>
    <n v="5112.8500000000004"/>
    <n v="149385"/>
    <n v="1524"/>
    <n v="60"/>
    <n v="1536.68"/>
    <n v="1.0201827492720153E-2"/>
    <n v="3.35488845144357"/>
    <n v="85.214166666666671"/>
    <n v="0.30055252941118943"/>
    <n v="-3576.17"/>
    <n v="-232.7205403857667"/>
    <s v="2025-05"/>
  </r>
  <r>
    <s v="C0231"/>
    <x v="78"/>
    <x v="2"/>
    <x v="2"/>
    <n v="5265.75"/>
    <n v="4884.67"/>
    <n v="134522"/>
    <n v="2228"/>
    <n v="403"/>
    <n v="14197.01"/>
    <n v="1.6562346679353562E-2"/>
    <n v="2.1924012567324955"/>
    <n v="12.120769230769231"/>
    <n v="2.9064419909635655"/>
    <n v="9312.34"/>
    <n v="65.59367077997409"/>
    <s v="2025-04"/>
  </r>
  <r>
    <s v="C0232"/>
    <x v="56"/>
    <x v="0"/>
    <x v="3"/>
    <n v="4696.87"/>
    <n v="3919.31"/>
    <n v="178747"/>
    <n v="7649"/>
    <n v="235"/>
    <n v="9004.8700000000008"/>
    <n v="4.2792326584502119E-2"/>
    <n v="0.51239508432474834"/>
    <n v="16.677914893617022"/>
    <n v="2.2975651326381432"/>
    <n v="5085.5600000000013"/>
    <n v="56.475662613674615"/>
    <s v="2025-03"/>
  </r>
  <r>
    <s v="C0233"/>
    <x v="124"/>
    <x v="3"/>
    <x v="1"/>
    <n v="5020.41"/>
    <n v="4891.74"/>
    <n v="73811"/>
    <n v="3452"/>
    <n v="224"/>
    <n v="5517.32"/>
    <n v="4.6768096896126592E-2"/>
    <n v="1.4170741599073"/>
    <n v="21.838124999999998"/>
    <n v="1.1278849652679823"/>
    <n v="625.57999999999993"/>
    <n v="11.338475926718043"/>
    <s v="2025-05"/>
  </r>
  <r>
    <s v="C0234"/>
    <x v="98"/>
    <x v="0"/>
    <x v="3"/>
    <n v="6367.98"/>
    <n v="6111.84"/>
    <n v="61124"/>
    <n v="2912"/>
    <n v="312"/>
    <n v="6725.07"/>
    <n v="4.7640861200183231E-2"/>
    <n v="2.098846153846154"/>
    <n v="19.58923076923077"/>
    <n v="1.1003347600722531"/>
    <n v="613.22999999999956"/>
    <n v="9.1185667955872525"/>
    <s v="2025-04"/>
  </r>
  <r>
    <s v="C0235"/>
    <x v="131"/>
    <x v="4"/>
    <x v="0"/>
    <n v="5356.23"/>
    <n v="4500.97"/>
    <n v="65992"/>
    <n v="3184"/>
    <n v="311"/>
    <n v="6811.29"/>
    <n v="4.8248272517880955E-2"/>
    <n v="1.413621231155779"/>
    <n v="14.472572347266881"/>
    <n v="1.513293801113982"/>
    <n v="2310.3199999999997"/>
    <n v="33.918978636939542"/>
    <s v="2025-04"/>
  </r>
  <r>
    <s v="C0236"/>
    <x v="112"/>
    <x v="2"/>
    <x v="2"/>
    <n v="9929.7199999999993"/>
    <n v="8904.0400000000009"/>
    <n v="80479"/>
    <n v="3812"/>
    <n v="427"/>
    <n v="18914.490000000002"/>
    <n v="4.7366393717615779E-2"/>
    <n v="2.3357922350472196"/>
    <n v="20.852552693208434"/>
    <n v="2.1242593249805708"/>
    <n v="10010.450000000001"/>
    <n v="52.92476825967816"/>
    <s v="2025-02"/>
  </r>
  <r>
    <s v="C0237"/>
    <x v="132"/>
    <x v="4"/>
    <x v="2"/>
    <n v="4782.4799999999996"/>
    <n v="4803.7700000000004"/>
    <n v="65167"/>
    <n v="3118"/>
    <n v="343"/>
    <n v="14682.74"/>
    <n v="4.784630257645741E-2"/>
    <n v="1.5406574727389353"/>
    <n v="14.005160349854229"/>
    <n v="3.0565035378463161"/>
    <n v="9878.9699999999993"/>
    <n v="67.282877719008852"/>
    <s v="2025-03"/>
  </r>
  <r>
    <s v="C0238"/>
    <x v="87"/>
    <x v="2"/>
    <x v="2"/>
    <n v="7169.47"/>
    <n v="6749.86"/>
    <n v="109928"/>
    <n v="2600"/>
    <n v="192"/>
    <n v="6212.2"/>
    <n v="2.3651844843897825E-2"/>
    <n v="2.5960999999999999"/>
    <n v="35.155520833333334"/>
    <n v="0.92034501456326501"/>
    <n v="-537.65999999999985"/>
    <n v="-8.6549048646212263"/>
    <s v="2025-01"/>
  </r>
  <r>
    <s v="C0239"/>
    <x v="133"/>
    <x v="4"/>
    <x v="1"/>
    <n v="5442.08"/>
    <n v="5871.24"/>
    <n v="155287"/>
    <n v="6156"/>
    <n v="885"/>
    <n v="39752.949999999997"/>
    <n v="3.9642726049186346E-2"/>
    <n v="0.95374269005847945"/>
    <n v="6.6341694915254239"/>
    <n v="6.7707928819125085"/>
    <n v="33881.71"/>
    <n v="85.230680993486018"/>
    <s v="2025-03"/>
  </r>
  <r>
    <s v="C0240"/>
    <x v="38"/>
    <x v="4"/>
    <x v="2"/>
    <n v="9755.19"/>
    <n v="8167.91"/>
    <n v="78740"/>
    <n v="2383"/>
    <n v="340"/>
    <n v="14254.85"/>
    <n v="3.0264160528321055E-2"/>
    <n v="3.4275744859420896"/>
    <n v="24.023264705882351"/>
    <n v="1.7452261349598612"/>
    <n v="6086.9400000000005"/>
    <n v="42.700835154350983"/>
    <s v="2025-04"/>
  </r>
  <r>
    <s v="C0241"/>
    <x v="134"/>
    <x v="4"/>
    <x v="3"/>
    <n v="9568.3799999999992"/>
    <n v="8174.94"/>
    <n v="158786"/>
    <n v="2402"/>
    <n v="240"/>
    <n v="5278.77"/>
    <n v="1.5127278223520965E-2"/>
    <n v="3.4033888426311405"/>
    <n v="34.062249999999999"/>
    <n v="0.64572584018965284"/>
    <n v="-2896.1699999999992"/>
    <n v="-54.864485476730351"/>
    <s v="2025-01"/>
  </r>
  <r>
    <s v="C0242"/>
    <x v="135"/>
    <x v="2"/>
    <x v="1"/>
    <n v="8187.84"/>
    <n v="7961.38"/>
    <n v="158182"/>
    <n v="3562"/>
    <n v="554"/>
    <n v="25071.19"/>
    <n v="2.2518364921419631E-2"/>
    <n v="2.2350870297585628"/>
    <n v="14.370722021660651"/>
    <n v="3.1491010352476581"/>
    <n v="17109.809999999998"/>
    <n v="68.244905806226186"/>
    <s v="2025-05"/>
  </r>
  <r>
    <s v="C0243"/>
    <x v="14"/>
    <x v="3"/>
    <x v="1"/>
    <n v="3978.41"/>
    <n v="4131.8999999999996"/>
    <n v="70430"/>
    <n v="2036"/>
    <n v="76"/>
    <n v="1979.71"/>
    <n v="2.8908135737611813E-2"/>
    <n v="2.0294204322200393"/>
    <n v="54.367105263157889"/>
    <n v="0.47912824608533611"/>
    <n v="-2152.1899999999996"/>
    <n v="-108.71238716781748"/>
    <s v="2025-02"/>
  </r>
  <r>
    <s v="C0244"/>
    <x v="105"/>
    <x v="1"/>
    <x v="1"/>
    <n v="4145.59"/>
    <n v="3520.77"/>
    <n v="53472"/>
    <n v="1779"/>
    <n v="127"/>
    <n v="5643.53"/>
    <n v="3.3269748653500901E-2"/>
    <n v="1.9790725126475548"/>
    <n v="27.72259842519685"/>
    <n v="1.6029249283537408"/>
    <n v="2122.7599999999998"/>
    <n v="37.61404652761658"/>
    <s v="2025-03"/>
  </r>
  <r>
    <s v="C0245"/>
    <x v="51"/>
    <x v="0"/>
    <x v="2"/>
    <n v="7656.38"/>
    <n v="7326.54"/>
    <n v="65231"/>
    <n v="2231"/>
    <n v="352"/>
    <n v="10829.25"/>
    <n v="3.4201529947417639E-2"/>
    <n v="3.2839713133124158"/>
    <n v="20.81403409090909"/>
    <n v="1.4780851534284942"/>
    <n v="3502.71"/>
    <n v="32.344899231248704"/>
    <s v="2025-04"/>
  </r>
  <r>
    <s v="C0246"/>
    <x v="32"/>
    <x v="0"/>
    <x v="3"/>
    <n v="9140.4"/>
    <n v="8388.4500000000007"/>
    <n v="136646"/>
    <n v="2540"/>
    <n v="494"/>
    <n v="21982"/>
    <n v="1.8588176748679068E-2"/>
    <n v="3.3025393700787404"/>
    <n v="16.980668016194333"/>
    <n v="2.6205079603502432"/>
    <n v="13593.55"/>
    <n v="61.839459557820028"/>
    <s v="2025-02"/>
  </r>
  <r>
    <s v="C0247"/>
    <x v="136"/>
    <x v="1"/>
    <x v="0"/>
    <n v="6073.94"/>
    <n v="5546.01"/>
    <n v="106358"/>
    <n v="1150"/>
    <n v="118"/>
    <n v="3997.89"/>
    <n v="1.0812538784106509E-2"/>
    <n v="4.8226173913043482"/>
    <n v="47.000084745762713"/>
    <n v="0.72085877955503141"/>
    <n v="-1548.1200000000003"/>
    <n v="-38.72342660753548"/>
    <s v="2024-12"/>
  </r>
  <r>
    <s v="C0248"/>
    <x v="132"/>
    <x v="0"/>
    <x v="1"/>
    <n v="5109.6499999999996"/>
    <n v="5233.7299999999996"/>
    <n v="179651"/>
    <n v="4479"/>
    <n v="887"/>
    <n v="31117.39"/>
    <n v="2.4931673077244212E-2"/>
    <n v="1.1685041303862469"/>
    <n v="5.9004847801578348"/>
    <n v="5.945547439397906"/>
    <n v="25883.66"/>
    <n v="83.180690925556419"/>
    <s v="2025-03"/>
  </r>
  <r>
    <s v="C0249"/>
    <x v="137"/>
    <x v="1"/>
    <x v="3"/>
    <n v="4625.49"/>
    <n v="4948.68"/>
    <n v="87263"/>
    <n v="3752"/>
    <n v="526"/>
    <n v="16577.8"/>
    <n v="4.2996458980323851E-2"/>
    <n v="1.3189445628997869"/>
    <n v="9.4081368821292788"/>
    <n v="3.3499438234034122"/>
    <n v="11629.119999999999"/>
    <n v="70.148753151805423"/>
    <s v="2025-04"/>
  </r>
  <r>
    <s v="C0250"/>
    <x v="81"/>
    <x v="0"/>
    <x v="1"/>
    <n v="6804.87"/>
    <n v="7294.42"/>
    <n v="142706"/>
    <n v="4101"/>
    <n v="124"/>
    <n v="4802.17"/>
    <n v="2.8737404173615685E-2"/>
    <n v="1.7786930017069007"/>
    <n v="58.825967741935486"/>
    <n v="0.65833472709276408"/>
    <n v="-2492.25"/>
    <n v="-51.898412592640412"/>
    <s v="2024-12"/>
  </r>
  <r>
    <s v="C0251"/>
    <x v="62"/>
    <x v="0"/>
    <x v="0"/>
    <n v="3818.29"/>
    <n v="4131.2"/>
    <n v="197165"/>
    <n v="8105"/>
    <n v="869"/>
    <n v="33744.35"/>
    <n v="4.1107701671189108E-2"/>
    <n v="0.50971005552128312"/>
    <n v="4.7539700805523593"/>
    <n v="8.1681714756003103"/>
    <n v="29613.149999999998"/>
    <n v="87.757357898433369"/>
    <s v="2025-02"/>
  </r>
  <r>
    <s v="C0252"/>
    <x v="138"/>
    <x v="2"/>
    <x v="2"/>
    <n v="5344.34"/>
    <n v="4498.7700000000004"/>
    <n v="141042"/>
    <n v="2816"/>
    <n v="230"/>
    <n v="10078.77"/>
    <n v="1.9965683980658244E-2"/>
    <n v="1.5975745738636364"/>
    <n v="19.559869565217394"/>
    <n v="2.2403390260004401"/>
    <n v="5580"/>
    <n v="55.363898570956572"/>
    <s v="2025-02"/>
  </r>
  <r>
    <s v="C0253"/>
    <x v="139"/>
    <x v="0"/>
    <x v="1"/>
    <n v="7340.51"/>
    <n v="7047.17"/>
    <n v="103661"/>
    <n v="3336"/>
    <n v="394"/>
    <n v="18445.810000000001"/>
    <n v="3.2181823443725222E-2"/>
    <n v="2.11246103117506"/>
    <n v="17.886218274111677"/>
    <n v="2.6174776541505316"/>
    <n v="11398.640000000001"/>
    <n v="61.795280337377434"/>
    <s v="2024-12"/>
  </r>
  <r>
    <s v="C0254"/>
    <x v="54"/>
    <x v="2"/>
    <x v="2"/>
    <n v="8520.18"/>
    <n v="7203.83"/>
    <n v="71137"/>
    <n v="2638"/>
    <n v="60"/>
    <n v="1761.1"/>
    <n v="3.708337433403152E-2"/>
    <n v="2.73079226686884"/>
    <n v="120.06383333333333"/>
    <n v="0.24446717926436354"/>
    <n v="-5442.73"/>
    <n v="-309.05286468684341"/>
    <s v="2025-02"/>
  </r>
  <r>
    <s v="C0255"/>
    <x v="56"/>
    <x v="3"/>
    <x v="3"/>
    <n v="4739.42"/>
    <n v="4849.3"/>
    <n v="109146"/>
    <n v="3124"/>
    <n v="400"/>
    <n v="8402.39"/>
    <n v="2.8622212449379729E-2"/>
    <n v="1.5522727272727272"/>
    <n v="12.123250000000001"/>
    <n v="1.7327016270389539"/>
    <n v="3553.0899999999992"/>
    <n v="42.286658914903967"/>
    <s v="2025-03"/>
  </r>
  <r>
    <s v="C0256"/>
    <x v="109"/>
    <x v="4"/>
    <x v="1"/>
    <n v="6989.23"/>
    <n v="7190.08"/>
    <n v="119284"/>
    <n v="1389"/>
    <n v="211"/>
    <n v="9769.93"/>
    <n v="1.1644478723047517E-2"/>
    <n v="5.1764434845212381"/>
    <n v="34.076208530805687"/>
    <n v="1.3588068561128668"/>
    <n v="2579.8500000000004"/>
    <n v="26.406023379901395"/>
    <s v="2024-12"/>
  </r>
  <r>
    <s v="C0257"/>
    <x v="140"/>
    <x v="4"/>
    <x v="1"/>
    <n v="5394.57"/>
    <n v="5644.76"/>
    <n v="192983"/>
    <n v="4396"/>
    <n v="677"/>
    <n v="15786.93"/>
    <n v="2.2779208531321413E-2"/>
    <n v="1.2840673339399455"/>
    <n v="8.3379025110782869"/>
    <n v="2.7967406940241921"/>
    <n v="10142.17"/>
    <n v="64.244093056724765"/>
    <s v="2025-02"/>
  </r>
  <r>
    <s v="C0258"/>
    <x v="51"/>
    <x v="2"/>
    <x v="2"/>
    <n v="8925.17"/>
    <n v="7481.49"/>
    <n v="121420"/>
    <n v="2619"/>
    <n v="104"/>
    <n v="3319.54"/>
    <n v="2.1569757865261076E-2"/>
    <n v="2.8566208476517754"/>
    <n v="71.937403846153842"/>
    <n v="0.44370038588569927"/>
    <n v="-4161.95"/>
    <n v="-125.37731131421823"/>
    <s v="2025-04"/>
  </r>
  <r>
    <s v="C0259"/>
    <x v="78"/>
    <x v="2"/>
    <x v="2"/>
    <n v="8581.07"/>
    <n v="7250.79"/>
    <n v="157129"/>
    <n v="6144"/>
    <n v="426"/>
    <n v="11449.83"/>
    <n v="3.9101629870997717E-2"/>
    <n v="1.1801416015624999"/>
    <n v="17.020633802816903"/>
    <n v="1.5791148274877633"/>
    <n v="4199.04"/>
    <n v="36.673382923589259"/>
    <s v="2025-04"/>
  </r>
  <r>
    <s v="C0260"/>
    <x v="24"/>
    <x v="1"/>
    <x v="3"/>
    <n v="8055.77"/>
    <n v="8184.75"/>
    <n v="194986"/>
    <n v="2202"/>
    <n v="364"/>
    <n v="14281.33"/>
    <n v="1.1293118480301149E-2"/>
    <n v="3.7169618528610355"/>
    <n v="22.485576923076923"/>
    <n v="1.7448706435749413"/>
    <n v="6096.58"/>
    <n v="42.689161303604081"/>
    <s v="2025-03"/>
  </r>
  <r>
    <s v="C0261"/>
    <x v="16"/>
    <x v="2"/>
    <x v="1"/>
    <n v="7857.64"/>
    <n v="7565.47"/>
    <n v="75023"/>
    <n v="2918"/>
    <n v="193"/>
    <n v="5317.92"/>
    <n v="3.8894738946723004E-2"/>
    <n v="2.5926901987662783"/>
    <n v="39.19932642487047"/>
    <n v="0.70291997721225519"/>
    <n v="-2247.5500000000002"/>
    <n v="-42.263704606312245"/>
    <s v="2025-05"/>
  </r>
  <r>
    <s v="C0262"/>
    <x v="114"/>
    <x v="0"/>
    <x v="3"/>
    <n v="5419.87"/>
    <n v="4631.17"/>
    <n v="190925"/>
    <n v="4618"/>
    <n v="144"/>
    <n v="6804.51"/>
    <n v="2.4187508183841824E-2"/>
    <n v="1.0028518839324383"/>
    <n v="32.160902777777778"/>
    <n v="1.4692852993951853"/>
    <n v="2173.34"/>
    <n v="31.93969881740199"/>
    <s v="2025-04"/>
  </r>
  <r>
    <s v="C0263"/>
    <x v="112"/>
    <x v="4"/>
    <x v="2"/>
    <n v="7083.74"/>
    <n v="6518.85"/>
    <n v="166397"/>
    <n v="1945"/>
    <n v="236"/>
    <n v="7991"/>
    <n v="1.1688912660684989E-2"/>
    <n v="3.3515938303341906"/>
    <n v="27.622245762711866"/>
    <n v="1.2258297092278545"/>
    <n v="1472.1499999999996"/>
    <n v="18.42260042547866"/>
    <s v="2025-02"/>
  </r>
  <r>
    <s v="C0264"/>
    <x v="61"/>
    <x v="1"/>
    <x v="0"/>
    <n v="9630.98"/>
    <n v="8147.86"/>
    <n v="77672"/>
    <n v="2185"/>
    <n v="376"/>
    <n v="14132.67"/>
    <n v="2.8131115459882582E-2"/>
    <n v="3.7289977116704804"/>
    <n v="21.669840425531913"/>
    <n v="1.7345253845795092"/>
    <n v="5984.81"/>
    <n v="42.347341302103573"/>
    <s v="2025-03"/>
  </r>
  <r>
    <s v="C0265"/>
    <x v="40"/>
    <x v="1"/>
    <x v="3"/>
    <n v="6541.22"/>
    <n v="6432.87"/>
    <n v="127332"/>
    <n v="4365"/>
    <n v="646"/>
    <n v="13270.98"/>
    <n v="3.4280463669776648E-2"/>
    <n v="1.4737388316151203"/>
    <n v="9.9580030959752328"/>
    <n v="2.0629952105358882"/>
    <n v="6838.11"/>
    <n v="51.526790033592093"/>
    <s v="2025-05"/>
  </r>
  <r>
    <s v="C0266"/>
    <x v="35"/>
    <x v="3"/>
    <x v="2"/>
    <n v="9104.8700000000008"/>
    <n v="9829.94"/>
    <n v="155035"/>
    <n v="4402"/>
    <n v="390"/>
    <n v="14412.06"/>
    <n v="2.8393588544522206E-2"/>
    <n v="2.2330622444343482"/>
    <n v="25.204974358974361"/>
    <n v="1.4661391625991611"/>
    <n v="4582.119999999999"/>
    <n v="31.79365059540412"/>
    <s v="2025-04"/>
  </r>
  <r>
    <s v="C0267"/>
    <x v="141"/>
    <x v="0"/>
    <x v="2"/>
    <n v="7876.56"/>
    <n v="8481.08"/>
    <n v="148308"/>
    <n v="5069"/>
    <n v="397"/>
    <n v="16363.21"/>
    <n v="3.4178870998192952E-2"/>
    <n v="1.6731268494772145"/>
    <n v="21.362921914357681"/>
    <n v="1.9293780980724151"/>
    <n v="7882.1299999999992"/>
    <n v="48.169827313833899"/>
    <s v="2025-05"/>
  </r>
  <r>
    <s v="C0268"/>
    <x v="65"/>
    <x v="0"/>
    <x v="0"/>
    <n v="4067.77"/>
    <n v="3957.48"/>
    <n v="74611"/>
    <n v="2423"/>
    <n v="354"/>
    <n v="13523.31"/>
    <n v="3.2475104207154444E-2"/>
    <n v="1.6332975650020636"/>
    <n v="11.179322033898305"/>
    <n v="3.4171518238879286"/>
    <n v="9565.83"/>
    <n v="70.735862743662608"/>
    <s v="2025-02"/>
  </r>
  <r>
    <s v="C0269"/>
    <x v="120"/>
    <x v="4"/>
    <x v="0"/>
    <n v="5968.91"/>
    <n v="6093.86"/>
    <n v="196435"/>
    <n v="5991"/>
    <n v="805"/>
    <n v="38664.959999999999"/>
    <n v="3.0498638226385318E-2"/>
    <n v="1.0171690869637791"/>
    <n v="7.5700124223602483"/>
    <n v="6.3449045432615785"/>
    <n v="32571.1"/>
    <n v="84.239321597642927"/>
    <s v="2025-04"/>
  </r>
  <r>
    <s v="C0270"/>
    <x v="29"/>
    <x v="3"/>
    <x v="0"/>
    <n v="9478.98"/>
    <n v="8865.23"/>
    <n v="50483"/>
    <n v="1111"/>
    <n v="104"/>
    <n v="2433.3000000000002"/>
    <n v="2.2007408434522511E-2"/>
    <n v="7.9795049504950493"/>
    <n v="85.242596153846151"/>
    <n v="0.27447680432430971"/>
    <n v="-6431.9299999999994"/>
    <n v="-264.32951136316933"/>
    <s v="2025-02"/>
  </r>
  <r>
    <s v="C0271"/>
    <x v="119"/>
    <x v="2"/>
    <x v="0"/>
    <n v="9893.89"/>
    <n v="10405.1"/>
    <n v="156463"/>
    <n v="3470"/>
    <n v="102"/>
    <n v="2421.4699999999998"/>
    <n v="2.2177767267660724E-2"/>
    <n v="2.9985878962536026"/>
    <n v="102.01078431372549"/>
    <n v="0.23271953176807525"/>
    <n v="-7983.630000000001"/>
    <n v="-329.70179271269109"/>
    <s v="2025-06"/>
  </r>
  <r>
    <s v="C0272"/>
    <x v="142"/>
    <x v="2"/>
    <x v="3"/>
    <n v="9445.89"/>
    <n v="10021.799999999999"/>
    <n v="128263"/>
    <n v="5531"/>
    <n v="947"/>
    <n v="33680.19"/>
    <n v="4.3122334578171412E-2"/>
    <n v="1.8119327427228349"/>
    <n v="10.582682154171065"/>
    <n v="3.3606926899359402"/>
    <n v="23658.390000000003"/>
    <n v="70.244229619844788"/>
    <s v="2024-12"/>
  </r>
  <r>
    <s v="C0273"/>
    <x v="27"/>
    <x v="3"/>
    <x v="2"/>
    <n v="7138.93"/>
    <n v="6565.68"/>
    <n v="52499"/>
    <n v="1190"/>
    <n v="108"/>
    <n v="2337.4299999999998"/>
    <n v="2.2667098420922304E-2"/>
    <n v="5.5173781512605045"/>
    <n v="60.793333333333337"/>
    <n v="0.35600729855856511"/>
    <n v="-4228.25"/>
    <n v="-180.89311765486028"/>
    <s v="2025-04"/>
  </r>
  <r>
    <s v="C0274"/>
    <x v="143"/>
    <x v="0"/>
    <x v="1"/>
    <n v="5346.38"/>
    <n v="5564.81"/>
    <n v="67097"/>
    <n v="1613"/>
    <n v="258"/>
    <n v="5195.8500000000004"/>
    <n v="2.4039822942903556E-2"/>
    <n v="3.449975201487911"/>
    <n v="21.569031007751938"/>
    <n v="0.933697646460526"/>
    <n v="-368.96000000000004"/>
    <n v="-7.1010518009565331"/>
    <s v="2024-12"/>
  </r>
  <r>
    <s v="C0275"/>
    <x v="118"/>
    <x v="1"/>
    <x v="3"/>
    <n v="5334.49"/>
    <n v="4904.8"/>
    <n v="191774"/>
    <n v="6884"/>
    <n v="582"/>
    <n v="21022.93"/>
    <n v="3.5896419744073753E-2"/>
    <n v="0.71249273678094138"/>
    <n v="8.4274914089347082"/>
    <n v="4.28619515576578"/>
    <n v="16118.130000000001"/>
    <n v="76.669284443224612"/>
    <s v="2024-12"/>
  </r>
  <r>
    <s v="C0276"/>
    <x v="101"/>
    <x v="2"/>
    <x v="3"/>
    <n v="9438.99"/>
    <n v="8531.94"/>
    <n v="178702"/>
    <n v="4580"/>
    <n v="285"/>
    <n v="8666.4500000000007"/>
    <n v="2.5629259885171961E-2"/>
    <n v="1.8628689956331879"/>
    <n v="29.93663157894737"/>
    <n v="1.0157654648298042"/>
    <n v="134.51000000000022"/>
    <n v="1.5520772634700506"/>
    <s v="2025-01"/>
  </r>
  <r>
    <s v="C0277"/>
    <x v="74"/>
    <x v="4"/>
    <x v="3"/>
    <n v="8162.51"/>
    <n v="7637.38"/>
    <n v="70461"/>
    <n v="2962"/>
    <n v="302"/>
    <n v="8074.92"/>
    <n v="4.2037439150735871E-2"/>
    <n v="2.5784537474679272"/>
    <n v="25.289337748344373"/>
    <n v="1.0572892798315652"/>
    <n v="437.53999999999996"/>
    <n v="5.4185056941740601"/>
    <s v="2025-01"/>
  </r>
  <r>
    <s v="C0278"/>
    <x v="144"/>
    <x v="3"/>
    <x v="0"/>
    <n v="6167.08"/>
    <n v="5194.2700000000004"/>
    <n v="105961"/>
    <n v="4343"/>
    <n v="558"/>
    <n v="14112.72"/>
    <n v="4.0986778154226557E-2"/>
    <n v="1.1960096707345154"/>
    <n v="9.3087275985663087"/>
    <n v="2.7169785167116838"/>
    <n v="8918.4499999999989"/>
    <n v="63.194409015413044"/>
    <s v="2025-06"/>
  </r>
  <r>
    <s v="C0279"/>
    <x v="29"/>
    <x v="3"/>
    <x v="1"/>
    <n v="6488.57"/>
    <n v="6006.32"/>
    <n v="70597"/>
    <n v="2706"/>
    <n v="330"/>
    <n v="15656.97"/>
    <n v="3.8330240661784497E-2"/>
    <n v="2.2196304508499631"/>
    <n v="18.200969696969697"/>
    <n v="2.6067492241505614"/>
    <n v="9650.65"/>
    <n v="61.638043631686081"/>
    <s v="2025-02"/>
  </r>
  <r>
    <s v="C0280"/>
    <x v="67"/>
    <x v="0"/>
    <x v="1"/>
    <n v="5536.76"/>
    <n v="5393.78"/>
    <n v="99708"/>
    <n v="4677"/>
    <n v="700"/>
    <n v="27277.55"/>
    <n v="4.6906968347574921E-2"/>
    <n v="1.1532563609151165"/>
    <n v="7.7054"/>
    <n v="5.0572233201947432"/>
    <n v="21883.77"/>
    <n v="80.226303315363737"/>
    <s v="2025-02"/>
  </r>
  <r>
    <s v="C0281"/>
    <x v="47"/>
    <x v="2"/>
    <x v="1"/>
    <n v="3091.66"/>
    <n v="3088.76"/>
    <n v="170519"/>
    <n v="7134"/>
    <n v="1220"/>
    <n v="30916.12"/>
    <n v="4.1836980043279633E-2"/>
    <n v="0.43296327446033084"/>
    <n v="2.5317704918032788"/>
    <n v="10.009233478807028"/>
    <n v="27827.360000000001"/>
    <n v="90.009224960958875"/>
    <s v="2025-01"/>
  </r>
  <r>
    <s v="C0282"/>
    <x v="40"/>
    <x v="3"/>
    <x v="0"/>
    <n v="9727.49"/>
    <n v="8215.83"/>
    <n v="124323"/>
    <n v="2448"/>
    <n v="214"/>
    <n v="6941.89"/>
    <n v="1.9690644530778699E-2"/>
    <n v="3.3561397058823528"/>
    <n v="38.391728971962614"/>
    <n v="0.84494080330289212"/>
    <n v="-1273.9399999999996"/>
    <n v="-18.351486410761328"/>
    <s v="2025-05"/>
  </r>
  <r>
    <s v="C0283"/>
    <x v="116"/>
    <x v="2"/>
    <x v="0"/>
    <n v="3597.45"/>
    <n v="3953.82"/>
    <n v="92675"/>
    <n v="1207"/>
    <n v="133"/>
    <n v="4663.76"/>
    <n v="1.3024008632317237E-2"/>
    <n v="3.2757415078707539"/>
    <n v="29.727969924812033"/>
    <n v="1.1795579970762453"/>
    <n v="709.94"/>
    <n v="15.22248143129149"/>
    <s v="2024-12"/>
  </r>
  <r>
    <s v="C0284"/>
    <x v="38"/>
    <x v="0"/>
    <x v="0"/>
    <n v="7167.7"/>
    <n v="5878.4"/>
    <n v="71769"/>
    <n v="3290"/>
    <n v="54"/>
    <n v="2294.94"/>
    <n v="4.5841519318926001E-2"/>
    <n v="1.7867477203647415"/>
    <n v="108.85925925925925"/>
    <n v="0.39040215024496466"/>
    <n v="-3583.4599999999996"/>
    <n v="-156.14613018205267"/>
    <s v="2025-04"/>
  </r>
  <r>
    <s v="C0285"/>
    <x v="10"/>
    <x v="0"/>
    <x v="1"/>
    <n v="4469.34"/>
    <n v="4779.58"/>
    <n v="61798"/>
    <n v="1170"/>
    <n v="114"/>
    <n v="2981.58"/>
    <n v="1.8932651542121103E-2"/>
    <n v="4.0851111111111109"/>
    <n v="41.926140350877191"/>
    <n v="0.6238163185886626"/>
    <n v="-1798"/>
    <n v="-60.303597421501351"/>
    <s v="2025-04"/>
  </r>
  <r>
    <s v="C0286"/>
    <x v="43"/>
    <x v="4"/>
    <x v="0"/>
    <n v="4334.8100000000004"/>
    <n v="3515.38"/>
    <n v="78277"/>
    <n v="1196"/>
    <n v="224"/>
    <n v="7652.29"/>
    <n v="1.5279073035502126E-2"/>
    <n v="2.9392809364548498"/>
    <n v="15.693660714285715"/>
    <n v="2.1768030767655273"/>
    <n v="4136.91"/>
    <n v="54.061071914420388"/>
    <s v="2025-02"/>
  </r>
  <r>
    <s v="C0287"/>
    <x v="18"/>
    <x v="1"/>
    <x v="1"/>
    <n v="6953.89"/>
    <n v="5700.19"/>
    <n v="65823"/>
    <n v="1049"/>
    <n v="73"/>
    <n v="3158.41"/>
    <n v="1.5936678668550506E-2"/>
    <n v="5.433927550047664"/>
    <n v="78.084794520547945"/>
    <n v="0.55408854792559548"/>
    <n v="-2541.7799999999997"/>
    <n v="-80.476568906506756"/>
    <s v="2025-06"/>
  </r>
  <r>
    <s v="C0288"/>
    <x v="145"/>
    <x v="3"/>
    <x v="0"/>
    <n v="6173.02"/>
    <n v="5909.54"/>
    <n v="146175"/>
    <n v="1946"/>
    <n v="140"/>
    <n v="4651.2"/>
    <n v="1.3312809988028048E-2"/>
    <n v="3.0367625899280575"/>
    <n v="42.210999999999999"/>
    <n v="0.78706633680455662"/>
    <n v="-1258.3400000000001"/>
    <n v="-27.054093567251464"/>
    <s v="2025-03"/>
  </r>
  <r>
    <s v="C0289"/>
    <x v="37"/>
    <x v="0"/>
    <x v="2"/>
    <n v="5805.34"/>
    <n v="5618.94"/>
    <n v="102654"/>
    <n v="4465"/>
    <n v="500"/>
    <n v="12328.6"/>
    <n v="4.3495626083737603E-2"/>
    <n v="1.258441209406495"/>
    <n v="11.237879999999999"/>
    <n v="2.1941149042346066"/>
    <n v="6709.6600000000008"/>
    <n v="54.423535519037038"/>
    <s v="2024-12"/>
  </r>
  <r>
    <s v="C0290"/>
    <x v="129"/>
    <x v="2"/>
    <x v="3"/>
    <n v="4273.5"/>
    <n v="4523.6499999999996"/>
    <n v="68829"/>
    <n v="1090"/>
    <n v="124"/>
    <n v="5999.55"/>
    <n v="1.5836348050966891E-2"/>
    <n v="4.1501376146788989"/>
    <n v="36.48104838709677"/>
    <n v="1.3262630840140153"/>
    <n v="1475.9000000000005"/>
    <n v="24.600178346709345"/>
    <s v="2025-01"/>
  </r>
  <r>
    <s v="C0291"/>
    <x v="113"/>
    <x v="2"/>
    <x v="1"/>
    <n v="5613.17"/>
    <n v="4946.46"/>
    <n v="112356"/>
    <n v="4894"/>
    <n v="191"/>
    <n v="7510.12"/>
    <n v="4.3557976432055251E-2"/>
    <n v="1.0107192480588476"/>
    <n v="25.897696335078535"/>
    <n v="1.5182817610978356"/>
    <n v="2563.66"/>
    <n v="34.136072392984396"/>
    <s v="2025-01"/>
  </r>
  <r>
    <s v="C0292"/>
    <x v="102"/>
    <x v="2"/>
    <x v="3"/>
    <n v="5861.14"/>
    <n v="4733.55"/>
    <n v="195477"/>
    <n v="3560"/>
    <n v="118"/>
    <n v="2912.78"/>
    <n v="1.8211861241987547E-2"/>
    <n v="1.3296488764044945"/>
    <n v="40.114830508474576"/>
    <n v="0.61534788900508075"/>
    <n v="-1820.77"/>
    <n v="-62.509698638414157"/>
    <s v="2025-01"/>
  </r>
  <r>
    <s v="C0293"/>
    <x v="4"/>
    <x v="1"/>
    <x v="1"/>
    <n v="8011.81"/>
    <n v="7993.2"/>
    <n v="161797"/>
    <n v="6944"/>
    <n v="396"/>
    <n v="8241.9"/>
    <n v="4.2917977465589598E-2"/>
    <n v="1.151094470046083"/>
    <n v="20.184848484848484"/>
    <n v="1.0311139468548265"/>
    <n v="248.69999999999982"/>
    <n v="3.0175080988606973"/>
    <s v="2025-05"/>
  </r>
  <r>
    <s v="C0294"/>
    <x v="97"/>
    <x v="1"/>
    <x v="0"/>
    <n v="4553.8100000000004"/>
    <n v="3958.73"/>
    <n v="191829"/>
    <n v="3686"/>
    <n v="217"/>
    <n v="8714.02"/>
    <n v="1.9215030052807447E-2"/>
    <n v="1.0739907759088443"/>
    <n v="18.242995391705069"/>
    <n v="2.2012160465603867"/>
    <n v="4755.2900000000009"/>
    <n v="54.570565594295175"/>
    <s v="2025-05"/>
  </r>
  <r>
    <s v="C0295"/>
    <x v="82"/>
    <x v="0"/>
    <x v="3"/>
    <n v="3137.97"/>
    <n v="2608.38"/>
    <n v="54030"/>
    <n v="2101"/>
    <n v="226"/>
    <n v="9943.43"/>
    <n v="3.8885804182861375E-2"/>
    <n v="1.2414945264159924"/>
    <n v="11.541504424778761"/>
    <n v="3.8121094319079276"/>
    <n v="7335.05"/>
    <n v="73.767804469886144"/>
    <s v="2025-03"/>
  </r>
  <r>
    <s v="C0296"/>
    <x v="18"/>
    <x v="1"/>
    <x v="2"/>
    <n v="4249.8100000000004"/>
    <n v="4232.0600000000004"/>
    <n v="134964"/>
    <n v="2504"/>
    <n v="293"/>
    <n v="7953.63"/>
    <n v="1.8553095640318901E-2"/>
    <n v="1.6901198083067095"/>
    <n v="14.443890784982937"/>
    <n v="1.8793755287023339"/>
    <n v="3721.5699999999997"/>
    <n v="46.790836385398862"/>
    <s v="2025-06"/>
  </r>
  <r>
    <s v="C0297"/>
    <x v="112"/>
    <x v="3"/>
    <x v="2"/>
    <n v="3696.09"/>
    <n v="3226.51"/>
    <n v="99410"/>
    <n v="4795"/>
    <n v="100"/>
    <n v="4166.8"/>
    <n v="4.8234584045870638E-2"/>
    <n v="0.67289051094890517"/>
    <n v="32.265100000000004"/>
    <n v="1.2914263399152643"/>
    <n v="940.29"/>
    <n v="22.566237880387828"/>
    <s v="2025-02"/>
  </r>
  <r>
    <s v="C0298"/>
    <x v="146"/>
    <x v="0"/>
    <x v="1"/>
    <n v="8989.8799999999992"/>
    <n v="9430.98"/>
    <n v="152642"/>
    <n v="2474"/>
    <n v="292"/>
    <n v="9319.33"/>
    <n v="1.620785891170189E-2"/>
    <n v="3.8120371867421179"/>
    <n v="32.297876712328765"/>
    <n v="0.98816135756835455"/>
    <n v="-111.64999999999964"/>
    <n v="-1.1980474991227872"/>
    <s v="2024-12"/>
  </r>
  <r>
    <s v="C0299"/>
    <x v="7"/>
    <x v="2"/>
    <x v="0"/>
    <n v="7676.6"/>
    <n v="6613.35"/>
    <n v="111235"/>
    <n v="4808"/>
    <n v="370"/>
    <n v="10653.94"/>
    <n v="4.3223805456915537E-2"/>
    <n v="1.375488768718802"/>
    <n v="17.873918918918921"/>
    <n v="1.6109747707289044"/>
    <n v="4040.59"/>
    <n v="37.925781447990133"/>
    <s v="2025-04"/>
  </r>
  <r>
    <s v="C0300"/>
    <x v="106"/>
    <x v="3"/>
    <x v="0"/>
    <n v="9274.35"/>
    <n v="7455.66"/>
    <n v="195593"/>
    <n v="5136"/>
    <n v="798"/>
    <n v="18007.07"/>
    <n v="2.6258608436907253E-2"/>
    <n v="1.4516471962616821"/>
    <n v="9.3429323308270682"/>
    <n v="2.4152214559140304"/>
    <n v="10551.41"/>
    <n v="58.595929265560699"/>
    <s v="2025-03"/>
  </r>
  <r>
    <s v="C0301"/>
    <x v="97"/>
    <x v="3"/>
    <x v="2"/>
    <n v="4455.2"/>
    <n v="3599.62"/>
    <n v="191906"/>
    <n v="3380"/>
    <n v="512"/>
    <n v="13026.85"/>
    <n v="1.761278959490584E-2"/>
    <n v="1.0649763313609466"/>
    <n v="7.0305078124999998"/>
    <n v="3.6189514448747371"/>
    <n v="9427.23"/>
    <n v="72.367686739311495"/>
    <s v="2025-05"/>
  </r>
  <r>
    <s v="C0302"/>
    <x v="105"/>
    <x v="2"/>
    <x v="2"/>
    <n v="7081.29"/>
    <n v="6560.3"/>
    <n v="163874"/>
    <n v="4357"/>
    <n v="137"/>
    <n v="6408.88"/>
    <n v="2.6587500152556232E-2"/>
    <n v="1.5056919899013084"/>
    <n v="47.885401459854016"/>
    <n v="0.97691873847232591"/>
    <n v="-151.42000000000007"/>
    <n v="-2.3626593102070887"/>
    <s v="2025-03"/>
  </r>
  <r>
    <s v="C0303"/>
    <x v="33"/>
    <x v="0"/>
    <x v="3"/>
    <n v="8722.1"/>
    <n v="7872.09"/>
    <n v="173144"/>
    <n v="7537"/>
    <n v="1161"/>
    <n v="32255.72"/>
    <n v="4.3530240724483665E-2"/>
    <n v="1.044459333952501"/>
    <n v="6.7804392764857884"/>
    <n v="4.0974785603315"/>
    <n v="24383.63"/>
    <n v="75.594747226228392"/>
    <s v="2025-04"/>
  </r>
  <r>
    <s v="C0304"/>
    <x v="129"/>
    <x v="4"/>
    <x v="0"/>
    <n v="5657.85"/>
    <n v="5528.22"/>
    <n v="131078"/>
    <n v="4550"/>
    <n v="114"/>
    <n v="3196.78"/>
    <n v="3.4712156120783044E-2"/>
    <n v="1.2149934065934067"/>
    <n v="48.493157894736846"/>
    <n v="0.57826569854311149"/>
    <n v="-2331.44"/>
    <n v="-72.930886704746641"/>
    <s v="2025-01"/>
  </r>
  <r>
    <s v="C0305"/>
    <x v="147"/>
    <x v="1"/>
    <x v="3"/>
    <n v="7369.04"/>
    <n v="6800.32"/>
    <n v="171377"/>
    <n v="4129"/>
    <n v="453"/>
    <n v="16562.32"/>
    <n v="2.4093081335301702E-2"/>
    <n v="1.6469653669169291"/>
    <n v="15.011743929359822"/>
    <n v="2.4355206813796997"/>
    <n v="9762"/>
    <n v="58.941017925024994"/>
    <s v="2025-03"/>
  </r>
  <r>
    <s v="C0306"/>
    <x v="51"/>
    <x v="3"/>
    <x v="1"/>
    <n v="6052.89"/>
    <n v="5377.02"/>
    <n v="118229"/>
    <n v="1135"/>
    <n v="149"/>
    <n v="7219.59"/>
    <n v="9.6000135330587249E-3"/>
    <n v="4.73746255506608"/>
    <n v="36.087382550335576"/>
    <n v="1.3426749389066805"/>
    <n v="1842.5699999999997"/>
    <n v="25.521809410229661"/>
    <s v="2025-04"/>
  </r>
  <r>
    <s v="C0307"/>
    <x v="7"/>
    <x v="3"/>
    <x v="0"/>
    <n v="8345.24"/>
    <n v="7026.98"/>
    <n v="93966"/>
    <n v="2601"/>
    <n v="324"/>
    <n v="14921.51"/>
    <n v="2.7680224762148011E-2"/>
    <n v="2.7016455209534791"/>
    <n v="21.688209876543208"/>
    <n v="2.1234598646929408"/>
    <n v="7894.5300000000007"/>
    <n v="52.907044930439348"/>
    <s v="2025-04"/>
  </r>
  <r>
    <s v="C0308"/>
    <x v="148"/>
    <x v="3"/>
    <x v="0"/>
    <n v="6412.02"/>
    <n v="6850.38"/>
    <n v="180247"/>
    <n v="6040"/>
    <n v="1020"/>
    <n v="44875.57"/>
    <n v="3.3509572974862276E-2"/>
    <n v="1.1341688741721854"/>
    <n v="6.7160588235294121"/>
    <n v="6.5508146993305481"/>
    <n v="38025.19"/>
    <n v="84.734723146692076"/>
    <s v="2025-02"/>
  </r>
  <r>
    <s v="C0309"/>
    <x v="149"/>
    <x v="0"/>
    <x v="0"/>
    <n v="5976.49"/>
    <n v="4821.4799999999996"/>
    <n v="80643"/>
    <n v="2915"/>
    <n v="337"/>
    <n v="9456.33"/>
    <n v="3.6146968738762199E-2"/>
    <n v="1.6540240137221267"/>
    <n v="14.307062314540058"/>
    <n v="1.9612919684412258"/>
    <n v="4634.8500000000004"/>
    <n v="49.013200681448303"/>
    <s v="2025-03"/>
  </r>
  <r>
    <s v="C0310"/>
    <x v="20"/>
    <x v="3"/>
    <x v="2"/>
    <n v="6791.44"/>
    <n v="6723.82"/>
    <n v="175493"/>
    <n v="7200"/>
    <n v="476"/>
    <n v="13202.64"/>
    <n v="4.1027277441265463E-2"/>
    <n v="0.93386388888888883"/>
    <n v="14.125672268907563"/>
    <n v="1.9635623797186719"/>
    <n v="6478.82"/>
    <n v="49.072155265916514"/>
    <s v="2025-06"/>
  </r>
  <r>
    <s v="C0311"/>
    <x v="110"/>
    <x v="2"/>
    <x v="2"/>
    <n v="3975.49"/>
    <n v="4176.17"/>
    <n v="125145"/>
    <n v="1135"/>
    <n v="91"/>
    <n v="4507.42"/>
    <n v="9.0694794038914863E-3"/>
    <n v="3.6794449339207049"/>
    <n v="45.891978021978019"/>
    <n v="1.0793190890217592"/>
    <n v="331.25"/>
    <n v="7.348993437487521"/>
    <s v="2025-05"/>
  </r>
  <r>
    <s v="C0312"/>
    <x v="70"/>
    <x v="4"/>
    <x v="3"/>
    <n v="6679.83"/>
    <n v="5687.9"/>
    <n v="197509"/>
    <n v="8448"/>
    <n v="669"/>
    <n v="18845.21"/>
    <n v="4.2772734407039679E-2"/>
    <n v="0.67328361742424236"/>
    <n v="8.5020926756352768"/>
    <n v="3.3132104994813552"/>
    <n v="13157.31"/>
    <n v="69.817794548322894"/>
    <s v="2025-04"/>
  </r>
  <r>
    <s v="C0313"/>
    <x v="51"/>
    <x v="2"/>
    <x v="2"/>
    <n v="3128.73"/>
    <n v="3361.16"/>
    <n v="158254"/>
    <n v="1254"/>
    <n v="110"/>
    <n v="2588.58"/>
    <n v="7.9239703261844881E-3"/>
    <n v="2.6803508771929825"/>
    <n v="30.555999999999997"/>
    <n v="0.77014483095121922"/>
    <n v="-772.57999999999993"/>
    <n v="-29.845706912670266"/>
    <s v="2025-04"/>
  </r>
  <r>
    <s v="C0314"/>
    <x v="89"/>
    <x v="4"/>
    <x v="2"/>
    <n v="7035.62"/>
    <n v="6206.94"/>
    <n v="50360"/>
    <n v="1689"/>
    <n v="308"/>
    <n v="11280.6"/>
    <n v="3.3538522637013506E-2"/>
    <n v="3.674920071047957"/>
    <n v="20.152402597402595"/>
    <n v="1.8174172780790536"/>
    <n v="5073.6600000000008"/>
    <n v="44.976862932822726"/>
    <s v="2025-01"/>
  </r>
  <r>
    <s v="C0315"/>
    <x v="104"/>
    <x v="2"/>
    <x v="0"/>
    <n v="7559.94"/>
    <n v="7929.79"/>
    <n v="98472"/>
    <n v="4803"/>
    <n v="235"/>
    <n v="6155.27"/>
    <n v="4.8775286375822569E-2"/>
    <n v="1.6510077035186341"/>
    <n v="33.74378723404255"/>
    <n v="0.7762210600785141"/>
    <n v="-1774.5199999999995"/>
    <n v="-28.829279625426658"/>
    <s v="2025-05"/>
  </r>
  <r>
    <s v="C0316"/>
    <x v="31"/>
    <x v="1"/>
    <x v="1"/>
    <n v="3076.97"/>
    <n v="2587.9299999999998"/>
    <n v="154581"/>
    <n v="6093"/>
    <n v="236"/>
    <n v="11092.13"/>
    <n v="3.9416228385118483E-2"/>
    <n v="0.42473822419169538"/>
    <n v="10.965805084745762"/>
    <n v="4.286101246942537"/>
    <n v="8504.1999999999989"/>
    <n v="76.668773265369225"/>
    <s v="2025-04"/>
  </r>
  <r>
    <s v="C0317"/>
    <x v="150"/>
    <x v="3"/>
    <x v="1"/>
    <n v="9117.23"/>
    <n v="8927.81"/>
    <n v="68618"/>
    <n v="3036"/>
    <n v="196"/>
    <n v="7451.04"/>
    <n v="4.42449503045848E-2"/>
    <n v="2.9406488801054018"/>
    <n v="45.550051020408162"/>
    <n v="0.83458765363510201"/>
    <n v="-1476.7699999999995"/>
    <n v="-19.819649337542135"/>
    <s v="2025-01"/>
  </r>
  <r>
    <s v="C0318"/>
    <x v="101"/>
    <x v="4"/>
    <x v="1"/>
    <n v="7655.26"/>
    <n v="6526.96"/>
    <n v="95395"/>
    <n v="4443"/>
    <n v="353"/>
    <n v="16743.62"/>
    <n v="4.6574768069605324E-2"/>
    <n v="1.4690434391177132"/>
    <n v="18.489971671388101"/>
    <n v="2.5653014573400172"/>
    <n v="10216.66"/>
    <n v="61.018226643939613"/>
    <s v="2025-01"/>
  </r>
  <r>
    <s v="C0319"/>
    <x v="89"/>
    <x v="3"/>
    <x v="0"/>
    <n v="5931.39"/>
    <n v="5426.88"/>
    <n v="87162"/>
    <n v="1775"/>
    <n v="84"/>
    <n v="2987.67"/>
    <n v="2.0364378972488009E-2"/>
    <n v="3.0573971830985918"/>
    <n v="64.605714285714285"/>
    <n v="0.55053179727578272"/>
    <n v="-2439.21"/>
    <n v="-81.642550884133797"/>
    <s v="2025-01"/>
  </r>
  <r>
    <s v="C0320"/>
    <x v="10"/>
    <x v="4"/>
    <x v="3"/>
    <n v="3328.76"/>
    <n v="2829.06"/>
    <n v="54764"/>
    <n v="1698"/>
    <n v="278"/>
    <n v="11715.2"/>
    <n v="3.1005770214009205E-2"/>
    <n v="1.666113074204947"/>
    <n v="10.176474820143884"/>
    <n v="4.1410221062826524"/>
    <n v="8886.1400000000012"/>
    <n v="75.851372575798976"/>
    <s v="2025-04"/>
  </r>
  <r>
    <s v="C0321"/>
    <x v="94"/>
    <x v="1"/>
    <x v="3"/>
    <n v="3579.59"/>
    <n v="3511.38"/>
    <n v="141976"/>
    <n v="6294"/>
    <n v="311"/>
    <n v="8509.11"/>
    <n v="4.4331436299092801E-2"/>
    <n v="0.55789323164918969"/>
    <n v="11.290610932475884"/>
    <n v="2.423295114741213"/>
    <n v="4997.7300000000005"/>
    <n v="58.733874635537674"/>
    <s v="2025-05"/>
  </r>
  <r>
    <s v="C0322"/>
    <x v="58"/>
    <x v="1"/>
    <x v="2"/>
    <n v="5725.07"/>
    <n v="5075.8900000000003"/>
    <n v="85169"/>
    <n v="1524"/>
    <n v="66"/>
    <n v="2024.23"/>
    <n v="1.7893834611184822E-2"/>
    <n v="3.3306364829396329"/>
    <n v="76.907424242424241"/>
    <n v="0.39879311805417372"/>
    <n v="-3051.6600000000003"/>
    <n v="-150.75658398502148"/>
    <s v="2025-04"/>
  </r>
  <r>
    <s v="C0323"/>
    <x v="151"/>
    <x v="4"/>
    <x v="3"/>
    <n v="8033.32"/>
    <n v="7142.72"/>
    <n v="75206"/>
    <n v="1081"/>
    <n v="182"/>
    <n v="6732.57"/>
    <n v="1.4373853150014626E-2"/>
    <n v="6.607511563367253"/>
    <n v="39.245714285714286"/>
    <n v="0.94257789749563181"/>
    <n v="-410.15000000000055"/>
    <n v="-6.0920272644770206"/>
    <s v="2025-04"/>
  </r>
  <r>
    <s v="C0324"/>
    <x v="152"/>
    <x v="1"/>
    <x v="3"/>
    <n v="6332.35"/>
    <n v="6326.66"/>
    <n v="185576"/>
    <n v="8158"/>
    <n v="162"/>
    <n v="7792.99"/>
    <n v="4.3960425917144455E-2"/>
    <n v="0.77551605785731792"/>
    <n v="39.053456790123455"/>
    <n v="1.2317700018651232"/>
    <n v="1466.33"/>
    <n v="18.816012852576485"/>
    <s v="2025-01"/>
  </r>
  <r>
    <s v="C0325"/>
    <x v="123"/>
    <x v="1"/>
    <x v="2"/>
    <n v="8128"/>
    <n v="7026.51"/>
    <n v="156872"/>
    <n v="6177"/>
    <n v="381"/>
    <n v="7976.42"/>
    <n v="3.9376051812943035E-2"/>
    <n v="1.1375279261777562"/>
    <n v="18.44228346456693"/>
    <n v="1.1351894468235297"/>
    <n v="949.90999999999985"/>
    <n v="11.90897670884933"/>
    <s v="2024-12"/>
  </r>
  <r>
    <s v="C0326"/>
    <x v="52"/>
    <x v="2"/>
    <x v="1"/>
    <n v="4835.8500000000004"/>
    <n v="4731.99"/>
    <n v="115212"/>
    <n v="2331"/>
    <n v="196"/>
    <n v="4222.38"/>
    <n v="2.023226747213832E-2"/>
    <n v="2.03002574002574"/>
    <n v="24.142806122448977"/>
    <n v="0.89230535144833367"/>
    <n v="-509.60999999999967"/>
    <n v="-12.069259517144351"/>
    <s v="2025-03"/>
  </r>
  <r>
    <s v="C0327"/>
    <x v="29"/>
    <x v="0"/>
    <x v="3"/>
    <n v="6474.56"/>
    <n v="6338.94"/>
    <n v="106540"/>
    <n v="3157"/>
    <n v="459"/>
    <n v="13782.54"/>
    <n v="2.9632063074901446E-2"/>
    <n v="2.0078999049730757"/>
    <n v="13.810326797385621"/>
    <n v="2.1742657289704592"/>
    <n v="7443.6000000000013"/>
    <n v="54.007461614477457"/>
    <s v="2025-02"/>
  </r>
  <r>
    <s v="C0328"/>
    <x v="81"/>
    <x v="1"/>
    <x v="1"/>
    <n v="8396.39"/>
    <n v="6985.62"/>
    <n v="110667"/>
    <n v="2560"/>
    <n v="409"/>
    <n v="9101.94"/>
    <n v="2.3132460444396253E-2"/>
    <n v="2.7287578125"/>
    <n v="17.079755501222493"/>
    <n v="1.3029537821982875"/>
    <n v="2116.3200000000006"/>
    <n v="23.251306864250925"/>
    <s v="2024-12"/>
  </r>
  <r>
    <s v="C0329"/>
    <x v="141"/>
    <x v="3"/>
    <x v="2"/>
    <n v="8097.32"/>
    <n v="7681.5"/>
    <n v="76558"/>
    <n v="2247"/>
    <n v="275"/>
    <n v="11179.32"/>
    <n v="2.9350296507223282E-2"/>
    <n v="3.418558077436582"/>
    <n v="27.932727272727274"/>
    <n v="1.4553563757078696"/>
    <n v="3497.8199999999997"/>
    <n v="31.288307338907913"/>
    <s v="2025-05"/>
  </r>
  <r>
    <s v="C0330"/>
    <x v="123"/>
    <x v="1"/>
    <x v="3"/>
    <n v="6043.79"/>
    <n v="5281.79"/>
    <n v="83532"/>
    <n v="3585"/>
    <n v="478"/>
    <n v="21305.93"/>
    <n v="4.2917684240770006E-2"/>
    <n v="1.4733026499302651"/>
    <n v="11.049769874476988"/>
    <n v="4.0338464800758835"/>
    <n v="16024.14"/>
    <n v="75.20976554414662"/>
    <s v="2024-12"/>
  </r>
  <r>
    <s v="C0331"/>
    <x v="140"/>
    <x v="0"/>
    <x v="1"/>
    <n v="8595.91"/>
    <n v="8668.19"/>
    <n v="149998"/>
    <n v="5998"/>
    <n v="629"/>
    <n v="17715.38"/>
    <n v="3.9987199829331056E-2"/>
    <n v="1.4451800600200067"/>
    <n v="13.780906200317967"/>
    <n v="2.0437230840579175"/>
    <n v="9047.19"/>
    <n v="51.069691985156396"/>
    <s v="2025-02"/>
  </r>
  <r>
    <s v="C0332"/>
    <x v="153"/>
    <x v="1"/>
    <x v="0"/>
    <n v="7131.61"/>
    <n v="6477.59"/>
    <n v="171861"/>
    <n v="2743"/>
    <n v="78"/>
    <n v="1774.3"/>
    <n v="1.5960572788474407E-2"/>
    <n v="2.3614983594604446"/>
    <n v="83.046025641025636"/>
    <n v="0.27391360058293285"/>
    <n v="-4703.29"/>
    <n v="-265.07862255537395"/>
    <s v="2025-03"/>
  </r>
  <r>
    <s v="C0333"/>
    <x v="15"/>
    <x v="1"/>
    <x v="1"/>
    <n v="9421.2000000000007"/>
    <n v="7923.66"/>
    <n v="111608"/>
    <n v="4858"/>
    <n v="347"/>
    <n v="16831.97"/>
    <n v="4.3527345709984948E-2"/>
    <n v="1.631053931659119"/>
    <n v="22.834755043227666"/>
    <n v="2.1242670685011724"/>
    <n v="8908.3100000000013"/>
    <n v="52.924939861466015"/>
    <s v="2025-03"/>
  </r>
  <r>
    <s v="C0334"/>
    <x v="86"/>
    <x v="1"/>
    <x v="2"/>
    <n v="6122.04"/>
    <n v="5237.6499999999996"/>
    <n v="115362"/>
    <n v="2448"/>
    <n v="149"/>
    <n v="5402.3"/>
    <n v="2.1220159151193633E-2"/>
    <n v="2.1395629084967318"/>
    <n v="35.15201342281879"/>
    <n v="1.0314358538657604"/>
    <n v="164.65000000000055"/>
    <n v="3.0477759472817234"/>
    <s v="2025-04"/>
  </r>
  <r>
    <s v="C0335"/>
    <x v="154"/>
    <x v="1"/>
    <x v="1"/>
    <n v="9110.6200000000008"/>
    <n v="9289.7999999999993"/>
    <n v="166037"/>
    <n v="1929"/>
    <n v="275"/>
    <n v="12154.13"/>
    <n v="1.161789239747767E-2"/>
    <n v="4.8158631415241056"/>
    <n v="33.781090909090906"/>
    <n v="1.3083306422097354"/>
    <n v="2864.33"/>
    <n v="23.566721764536005"/>
    <s v="2025-05"/>
  </r>
  <r>
    <s v="C0336"/>
    <x v="100"/>
    <x v="0"/>
    <x v="2"/>
    <n v="7611.48"/>
    <n v="7669.96"/>
    <n v="116079"/>
    <n v="3243"/>
    <n v="205"/>
    <n v="9322.5499999999993"/>
    <n v="2.7937869898948132E-2"/>
    <n v="2.3650817144619181"/>
    <n v="37.414439024390241"/>
    <n v="1.2154626621260083"/>
    <n v="1652.5899999999992"/>
    <n v="17.726802216131844"/>
    <s v="2025-05"/>
  </r>
  <r>
    <s v="C0337"/>
    <x v="89"/>
    <x v="0"/>
    <x v="3"/>
    <n v="4747.68"/>
    <n v="4495.2299999999996"/>
    <n v="67946"/>
    <n v="1270"/>
    <n v="110"/>
    <n v="2929.99"/>
    <n v="1.869131369028346E-2"/>
    <n v="3.5395511811023619"/>
    <n v="40.86572727272727"/>
    <n v="0.65179979667336263"/>
    <n v="-1565.2399999999998"/>
    <n v="-53.421342734958131"/>
    <s v="2025-01"/>
  </r>
  <r>
    <s v="C0338"/>
    <x v="109"/>
    <x v="2"/>
    <x v="0"/>
    <n v="9913.68"/>
    <n v="10738.67"/>
    <n v="123947"/>
    <n v="4068"/>
    <n v="400"/>
    <n v="8473.1200000000008"/>
    <n v="3.2820479721171143E-2"/>
    <n v="2.6397910521140608"/>
    <n v="26.846675000000001"/>
    <n v="0.78902880896796357"/>
    <n v="-2265.5499999999993"/>
    <n v="-26.738084672470109"/>
    <s v="2024-12"/>
  </r>
  <r>
    <s v="C0339"/>
    <x v="155"/>
    <x v="4"/>
    <x v="0"/>
    <n v="7939.03"/>
    <n v="8554.9"/>
    <n v="68639"/>
    <n v="3348"/>
    <n v="275"/>
    <n v="6989.75"/>
    <n v="4.8776934395897378E-2"/>
    <n v="2.5552270011947429"/>
    <n v="31.108727272727272"/>
    <n v="0.81704637108557676"/>
    <n v="-1565.1499999999996"/>
    <n v="-22.392074108516034"/>
    <s v="2025-05"/>
  </r>
  <r>
    <s v="C0340"/>
    <x v="156"/>
    <x v="3"/>
    <x v="1"/>
    <n v="6975.62"/>
    <n v="7496.33"/>
    <n v="158533"/>
    <n v="6076"/>
    <n v="478"/>
    <n v="10046.790000000001"/>
    <n v="3.8326405227933617E-2"/>
    <n v="1.2337606978275182"/>
    <n v="15.682698744769874"/>
    <n v="1.3402278181456795"/>
    <n v="2550.4600000000009"/>
    <n v="25.385819749392603"/>
    <s v="2025-01"/>
  </r>
  <r>
    <s v="C0341"/>
    <x v="38"/>
    <x v="1"/>
    <x v="0"/>
    <n v="7881.94"/>
    <n v="7008.66"/>
    <n v="74923"/>
    <n v="3598"/>
    <n v="369"/>
    <n v="17613.07"/>
    <n v="4.8022636573548841E-2"/>
    <n v="1.9479321845469706"/>
    <n v="18.993658536585365"/>
    <n v="2.5130438628782108"/>
    <n v="10604.41"/>
    <n v="60.207618546908627"/>
    <s v="2025-04"/>
  </r>
  <r>
    <s v="C0342"/>
    <x v="19"/>
    <x v="3"/>
    <x v="2"/>
    <n v="9797.41"/>
    <n v="10613.34"/>
    <n v="196954"/>
    <n v="4588"/>
    <n v="657"/>
    <n v="22486.76"/>
    <n v="2.3294779491657952E-2"/>
    <n v="2.3132824760244115"/>
    <n v="16.154246575342466"/>
    <n v="2.1187260560765977"/>
    <n v="11873.419999999998"/>
    <n v="52.80182649701424"/>
    <s v="2025-05"/>
  </r>
  <r>
    <s v="C0343"/>
    <x v="82"/>
    <x v="2"/>
    <x v="1"/>
    <n v="9034.2999999999993"/>
    <n v="9516.41"/>
    <n v="103912"/>
    <n v="1528"/>
    <n v="148"/>
    <n v="4376.8100000000004"/>
    <n v="1.4704750173223497E-2"/>
    <n v="6.228017015706806"/>
    <n v="64.300067567567567"/>
    <n v="0.45992238669834534"/>
    <n v="-5139.5999999999995"/>
    <n v="-117.42798979165188"/>
    <s v="2025-03"/>
  </r>
  <r>
    <s v="C0344"/>
    <x v="126"/>
    <x v="0"/>
    <x v="2"/>
    <n v="8802.41"/>
    <n v="7139.65"/>
    <n v="135367"/>
    <n v="1109"/>
    <n v="182"/>
    <n v="6895.63"/>
    <n v="8.1925432343185559E-3"/>
    <n v="6.4379170423805228"/>
    <n v="39.228846153846149"/>
    <n v="0.96582185401245169"/>
    <n v="-244.01999999999953"/>
    <n v="-3.5387629556690183"/>
    <s v="2024-12"/>
  </r>
  <r>
    <s v="C0345"/>
    <x v="23"/>
    <x v="2"/>
    <x v="3"/>
    <n v="4610.0600000000004"/>
    <n v="3854.79"/>
    <n v="154277"/>
    <n v="3322"/>
    <n v="278"/>
    <n v="6201.79"/>
    <n v="2.1532697680146748E-2"/>
    <n v="1.160382299819386"/>
    <n v="13.86615107913669"/>
    <n v="1.6088528817393424"/>
    <n v="2347"/>
    <n v="37.843912805818967"/>
    <s v="2025-04"/>
  </r>
  <r>
    <s v="C0346"/>
    <x v="128"/>
    <x v="2"/>
    <x v="3"/>
    <n v="7874.02"/>
    <n v="7102.07"/>
    <n v="194871"/>
    <n v="7907"/>
    <n v="784"/>
    <n v="32726.51"/>
    <n v="4.0575560242416778E-2"/>
    <n v="0.89820032882256229"/>
    <n v="9.0587627551020411"/>
    <n v="4.6080241394410359"/>
    <n v="25624.44"/>
    <n v="78.298724795280648"/>
    <s v="2025-02"/>
  </r>
  <r>
    <s v="C0347"/>
    <x v="40"/>
    <x v="1"/>
    <x v="2"/>
    <n v="3457.49"/>
    <n v="3093.03"/>
    <n v="57427"/>
    <n v="1092"/>
    <n v="199"/>
    <n v="7200.76"/>
    <n v="1.9015445696275272E-2"/>
    <n v="2.8324450549450551"/>
    <n v="15.542864321608041"/>
    <n v="2.3280601869364346"/>
    <n v="4107.7299999999996"/>
    <n v="57.045784056127403"/>
    <s v="2025-05"/>
  </r>
  <r>
    <s v="C0348"/>
    <x v="30"/>
    <x v="0"/>
    <x v="3"/>
    <n v="8535.06"/>
    <n v="7644.22"/>
    <n v="192331"/>
    <n v="2108"/>
    <n v="210"/>
    <n v="8143.12"/>
    <n v="1.0960271615080253E-2"/>
    <n v="3.6262903225806453"/>
    <n v="36.401047619047617"/>
    <n v="1.0652649976060342"/>
    <n v="498.89999999999964"/>
    <n v="6.1266443328846885"/>
    <s v="2024-12"/>
  </r>
  <r>
    <s v="C0349"/>
    <x v="3"/>
    <x v="1"/>
    <x v="0"/>
    <n v="9201.84"/>
    <n v="9061.59"/>
    <n v="66208"/>
    <n v="2170"/>
    <n v="345"/>
    <n v="9311.1299999999992"/>
    <n v="3.2775495408409863E-2"/>
    <n v="4.1758479262672807"/>
    <n v="26.265478260869564"/>
    <n v="1.0275382134923341"/>
    <n v="249.53999999999905"/>
    <n v="2.680018429556875"/>
    <s v="2025-05"/>
  </r>
  <r>
    <s v="C0350"/>
    <x v="42"/>
    <x v="4"/>
    <x v="3"/>
    <n v="3170.81"/>
    <n v="3364.32"/>
    <n v="132053"/>
    <n v="4867"/>
    <n v="162"/>
    <n v="3343.37"/>
    <n v="3.6856413712675971E-2"/>
    <n v="0.69125128415861936"/>
    <n v="20.767407407407408"/>
    <n v="0.99377288724021484"/>
    <n v="-20.950000000000273"/>
    <n v="-0.62661326745171109"/>
    <s v="2025-03"/>
  </r>
  <r>
    <s v="C0351"/>
    <x v="147"/>
    <x v="4"/>
    <x v="0"/>
    <n v="9122.91"/>
    <n v="8745.9599999999991"/>
    <n v="195707"/>
    <n v="8454"/>
    <n v="371"/>
    <n v="17871.82"/>
    <n v="4.3197228509966427E-2"/>
    <n v="1.0345351312987934"/>
    <n v="23.574016172506735"/>
    <n v="2.0434371984321906"/>
    <n v="9125.86"/>
    <n v="51.062846425266152"/>
    <s v="2025-03"/>
  </r>
  <r>
    <s v="C0352"/>
    <x v="120"/>
    <x v="0"/>
    <x v="3"/>
    <n v="8591.48"/>
    <n v="9445.2999999999993"/>
    <n v="106946"/>
    <n v="4278"/>
    <n v="149"/>
    <n v="4547.68"/>
    <n v="4.0001496082134907E-2"/>
    <n v="2.2078775128564749"/>
    <n v="63.391275167785231"/>
    <n v="0.48147544281282761"/>
    <n v="-4897.619999999999"/>
    <n v="-107.6949125708053"/>
    <s v="2025-04"/>
  </r>
  <r>
    <s v="C0353"/>
    <x v="101"/>
    <x v="0"/>
    <x v="2"/>
    <n v="8370.32"/>
    <n v="7705.54"/>
    <n v="170434"/>
    <n v="6373"/>
    <n v="533"/>
    <n v="18333.21"/>
    <n v="3.7392773742328411E-2"/>
    <n v="1.2090914796798995"/>
    <n v="14.456923076923077"/>
    <n v="2.3792245579154736"/>
    <n v="10627.669999999998"/>
    <n v="57.969499067539175"/>
    <s v="2025-01"/>
  </r>
  <r>
    <s v="C0354"/>
    <x v="37"/>
    <x v="0"/>
    <x v="3"/>
    <n v="7392.54"/>
    <n v="7851.64"/>
    <n v="61724"/>
    <n v="1074"/>
    <n v="134"/>
    <n v="6636.02"/>
    <n v="1.7400038882768452E-2"/>
    <n v="7.3106517690875235"/>
    <n v="58.594328358208955"/>
    <n v="0.84517629437926345"/>
    <n v="-1215.6199999999999"/>
    <n v="-18.318510191349631"/>
    <s v="2024-12"/>
  </r>
  <r>
    <s v="C0355"/>
    <x v="70"/>
    <x v="4"/>
    <x v="3"/>
    <n v="8377.91"/>
    <n v="7752.33"/>
    <n v="194762"/>
    <n v="1009"/>
    <n v="129"/>
    <n v="4210.6499999999996"/>
    <n v="5.1806820632361548E-3"/>
    <n v="7.683181367690783"/>
    <n v="60.095581395348837"/>
    <n v="0.54314638308740726"/>
    <n v="-3541.6800000000003"/>
    <n v="-84.112429197392331"/>
    <s v="2025-04"/>
  </r>
  <r>
    <s v="C0356"/>
    <x v="89"/>
    <x v="2"/>
    <x v="2"/>
    <n v="8163.08"/>
    <n v="7115.21"/>
    <n v="188259"/>
    <n v="3527"/>
    <n v="426"/>
    <n v="9931.86"/>
    <n v="1.8734828082588348E-2"/>
    <n v="2.0173546923731216"/>
    <n v="16.702370892018781"/>
    <n v="1.3958632282111141"/>
    <n v="2816.6500000000005"/>
    <n v="28.359743290783403"/>
    <s v="2025-01"/>
  </r>
  <r>
    <s v="C0357"/>
    <x v="63"/>
    <x v="0"/>
    <x v="0"/>
    <n v="5482.36"/>
    <n v="4858.3100000000004"/>
    <n v="99224"/>
    <n v="3662"/>
    <n v="233"/>
    <n v="6731.19"/>
    <n v="3.690639361444812E-2"/>
    <n v="1.3266821409066085"/>
    <n v="20.851115879828328"/>
    <n v="1.3855003077201742"/>
    <n v="1872.8799999999992"/>
    <n v="27.82390632265616"/>
    <s v="2025-06"/>
  </r>
  <r>
    <s v="C0358"/>
    <x v="133"/>
    <x v="3"/>
    <x v="0"/>
    <n v="4635.25"/>
    <n v="3766.73"/>
    <n v="83109"/>
    <n v="3984"/>
    <n v="764"/>
    <n v="15689.67"/>
    <n v="4.793704652925676E-2"/>
    <n v="0.9454643574297189"/>
    <n v="4.9302748691099474"/>
    <n v="4.1653290785376171"/>
    <n v="11922.94"/>
    <n v="75.992293018272534"/>
    <s v="2025-03"/>
  </r>
  <r>
    <s v="C0359"/>
    <x v="62"/>
    <x v="0"/>
    <x v="0"/>
    <n v="9914.06"/>
    <n v="9203.5400000000009"/>
    <n v="111688"/>
    <n v="2013"/>
    <n v="234"/>
    <n v="7377.97"/>
    <n v="1.8023422390946207E-2"/>
    <n v="4.5720516641828119"/>
    <n v="39.331367521367525"/>
    <n v="0.80164480189144605"/>
    <n v="-1825.5700000000006"/>
    <n v="-24.743527013528119"/>
    <s v="2025-02"/>
  </r>
  <r>
    <s v="C0360"/>
    <x v="43"/>
    <x v="4"/>
    <x v="1"/>
    <n v="7757.53"/>
    <n v="6713.96"/>
    <n v="134861"/>
    <n v="3399"/>
    <n v="139"/>
    <n v="6741.34"/>
    <n v="2.5203728283195288E-2"/>
    <n v="1.9752750809061488"/>
    <n v="48.301870503597122"/>
    <n v="1.0040780701702126"/>
    <n v="27.380000000000109"/>
    <n v="0.406150705942737"/>
    <s v="2025-02"/>
  </r>
  <r>
    <s v="C0361"/>
    <x v="53"/>
    <x v="2"/>
    <x v="3"/>
    <n v="8504.42"/>
    <n v="7031.65"/>
    <n v="176820"/>
    <n v="1932"/>
    <n v="64"/>
    <n v="2081.7600000000002"/>
    <n v="1.0926365795724466E-2"/>
    <n v="3.6395703933747412"/>
    <n v="109.86953124999999"/>
    <n v="0.29605569105402008"/>
    <n v="-4949.8899999999994"/>
    <n v="-237.77428714164932"/>
    <s v="2024-12"/>
  </r>
  <r>
    <s v="C0362"/>
    <x v="100"/>
    <x v="2"/>
    <x v="3"/>
    <n v="9153.83"/>
    <n v="9917.44"/>
    <n v="86387"/>
    <n v="2059"/>
    <n v="67"/>
    <n v="2279.48"/>
    <n v="2.3834604743769316E-2"/>
    <n v="4.8166294317629923"/>
    <n v="148.02149253731343"/>
    <n v="0.22984560531750128"/>
    <n v="-7637.9600000000009"/>
    <n v="-335.07466615192942"/>
    <s v="2025-05"/>
  </r>
  <r>
    <s v="C0363"/>
    <x v="114"/>
    <x v="2"/>
    <x v="3"/>
    <n v="7293.88"/>
    <n v="6200.6"/>
    <n v="53430"/>
    <n v="2126"/>
    <n v="397"/>
    <n v="19744.82"/>
    <n v="3.979037993636534E-2"/>
    <n v="2.9165569143932268"/>
    <n v="15.618639798488665"/>
    <n v="3.1843402251395023"/>
    <n v="13544.22"/>
    <n v="68.596320452655419"/>
    <s v="2025-04"/>
  </r>
  <r>
    <s v="C0364"/>
    <x v="150"/>
    <x v="0"/>
    <x v="3"/>
    <n v="4621.7"/>
    <n v="5004.47"/>
    <n v="164936"/>
    <n v="4651"/>
    <n v="231"/>
    <n v="9122.0499999999993"/>
    <n v="2.8198816510646554E-2"/>
    <n v="1.0759987099548485"/>
    <n v="21.664372294372296"/>
    <n v="1.8227804342917429"/>
    <n v="4117.579999999999"/>
    <n v="45.138757187255052"/>
    <s v="2025-01"/>
  </r>
  <r>
    <s v="C0365"/>
    <x v="42"/>
    <x v="2"/>
    <x v="3"/>
    <n v="7254.16"/>
    <n v="6919.07"/>
    <n v="152738"/>
    <n v="4601"/>
    <n v="244"/>
    <n v="6568.5"/>
    <n v="3.0123479422278672E-2"/>
    <n v="1.503818735057596"/>
    <n v="28.35684426229508"/>
    <n v="0.94933278605361704"/>
    <n v="-350.56999999999971"/>
    <n v="-5.337139377331197"/>
    <s v="2025-03"/>
  </r>
  <r>
    <s v="C0366"/>
    <x v="157"/>
    <x v="2"/>
    <x v="3"/>
    <n v="4235.7"/>
    <n v="3668.73"/>
    <n v="76927"/>
    <n v="1398"/>
    <n v="241"/>
    <n v="6167.95"/>
    <n v="1.8173073173268162E-2"/>
    <n v="2.6242703862660943"/>
    <n v="15.222946058091287"/>
    <n v="1.6812221122840874"/>
    <n v="2499.2199999999998"/>
    <n v="40.519459463841308"/>
    <s v="2025-02"/>
  </r>
  <r>
    <s v="C0367"/>
    <x v="158"/>
    <x v="3"/>
    <x v="2"/>
    <n v="8457.09"/>
    <n v="7653.98"/>
    <n v="69189"/>
    <n v="1438"/>
    <n v="105"/>
    <n v="2282.1999999999998"/>
    <n v="2.0783650580294556E-2"/>
    <n v="5.3226564673157162"/>
    <n v="72.895047619047617"/>
    <n v="0.29817167016375795"/>
    <n v="-5371.78"/>
    <n v="-235.37726754885639"/>
    <s v="2025-03"/>
  </r>
  <r>
    <s v="C0368"/>
    <x v="52"/>
    <x v="3"/>
    <x v="0"/>
    <n v="9783.7199999999993"/>
    <n v="10420.99"/>
    <n v="127993"/>
    <n v="3954"/>
    <n v="611"/>
    <n v="29225.7"/>
    <n v="3.0892314423445033E-2"/>
    <n v="2.6355563985837125"/>
    <n v="17.055630114566284"/>
    <n v="2.8045032189839931"/>
    <n v="18804.71"/>
    <n v="64.343061072959756"/>
    <s v="2025-03"/>
  </r>
  <r>
    <s v="C0369"/>
    <x v="83"/>
    <x v="1"/>
    <x v="2"/>
    <n v="9964.35"/>
    <n v="8491.31"/>
    <n v="124998"/>
    <n v="5305"/>
    <n v="1051"/>
    <n v="33513.51"/>
    <n v="4.2440679050864814E-2"/>
    <n v="1.6006239396795474"/>
    <n v="8.0792673644148429"/>
    <n v="3.9468009058672928"/>
    <n v="25022.200000000004"/>
    <n v="74.663023956607361"/>
    <s v="2025-03"/>
  </r>
  <r>
    <s v="C0370"/>
    <x v="43"/>
    <x v="0"/>
    <x v="0"/>
    <n v="8307.67"/>
    <n v="8380.83"/>
    <n v="107520"/>
    <n v="2601"/>
    <n v="369"/>
    <n v="9083.6299999999992"/>
    <n v="2.4190848214285715E-2"/>
    <n v="3.222156862745098"/>
    <n v="22.712276422764226"/>
    <n v="1.0838580426998279"/>
    <n v="702.79999999999927"/>
    <n v="7.7369950119060258"/>
    <s v="2025-02"/>
  </r>
  <r>
    <s v="C0371"/>
    <x v="146"/>
    <x v="2"/>
    <x v="3"/>
    <n v="8710.83"/>
    <n v="7555.18"/>
    <n v="117796"/>
    <n v="2015"/>
    <n v="234"/>
    <n v="6251.2"/>
    <n v="1.7105844001494109E-2"/>
    <n v="3.749468982630273"/>
    <n v="32.28709401709402"/>
    <n v="0.82740583281933711"/>
    <n v="-1303.9800000000005"/>
    <n v="-20.859674942411065"/>
    <s v="2024-12"/>
  </r>
  <r>
    <s v="C0372"/>
    <x v="138"/>
    <x v="4"/>
    <x v="2"/>
    <n v="6758.82"/>
    <n v="6609.33"/>
    <n v="56417"/>
    <n v="2121"/>
    <n v="213"/>
    <n v="7966.75"/>
    <n v="3.7595051137068611E-2"/>
    <n v="3.116138613861386"/>
    <n v="31.029718309859156"/>
    <n v="1.2053793652306664"/>
    <n v="1357.42"/>
    <n v="17.038566542190985"/>
    <s v="2025-02"/>
  </r>
  <r>
    <s v="C0373"/>
    <x v="60"/>
    <x v="1"/>
    <x v="1"/>
    <n v="3640.41"/>
    <n v="3870.62"/>
    <n v="133159"/>
    <n v="6315"/>
    <n v="1233"/>
    <n v="34484.550000000003"/>
    <n v="4.7424507543613277E-2"/>
    <n v="0.61292478226444969"/>
    <n v="3.1391889699918898"/>
    <n v="8.9093091029344151"/>
    <n v="30613.930000000004"/>
    <n v="88.77578509796416"/>
    <s v="2025-02"/>
  </r>
  <r>
    <s v="C0374"/>
    <x v="39"/>
    <x v="4"/>
    <x v="3"/>
    <n v="3906.6"/>
    <n v="4166.87"/>
    <n v="184724"/>
    <n v="5850"/>
    <n v="633"/>
    <n v="30807.82"/>
    <n v="3.1668868149238867E-2"/>
    <n v="0.71228547008547005"/>
    <n v="6.5827330173775671"/>
    <n v="7.3935159964193753"/>
    <n v="26640.95"/>
    <n v="86.474635336093243"/>
    <s v="2025-05"/>
  </r>
  <r>
    <s v="C0375"/>
    <x v="142"/>
    <x v="1"/>
    <x v="1"/>
    <n v="9034.89"/>
    <n v="9422.08"/>
    <n v="184680"/>
    <n v="7103"/>
    <n v="104"/>
    <n v="4124.3500000000004"/>
    <n v="3.8461121940654104E-2"/>
    <n v="1.3264930311136141"/>
    <n v="90.596923076923076"/>
    <n v="0.43773243275370199"/>
    <n v="-5297.73"/>
    <n v="-128.45005879714378"/>
    <s v="2024-12"/>
  </r>
  <r>
    <s v="C0376"/>
    <x v="149"/>
    <x v="4"/>
    <x v="0"/>
    <n v="6856"/>
    <n v="5663.71"/>
    <n v="89044"/>
    <n v="2861"/>
    <n v="262"/>
    <n v="8450.44"/>
    <n v="3.2130182830959975E-2"/>
    <n v="1.979626004893394"/>
    <n v="21.617213740458016"/>
    <n v="1.4920326076017312"/>
    <n v="2786.7300000000005"/>
    <n v="32.977336091375129"/>
    <s v="2025-03"/>
  </r>
  <r>
    <s v="C0377"/>
    <x v="57"/>
    <x v="4"/>
    <x v="3"/>
    <n v="5608.82"/>
    <n v="4924.13"/>
    <n v="146101"/>
    <n v="1999"/>
    <n v="79"/>
    <n v="3294.51"/>
    <n v="1.3682315658345939E-2"/>
    <n v="2.4632966483241621"/>
    <n v="62.33075949367089"/>
    <n v="0.66905422886885602"/>
    <n v="-1629.62"/>
    <n v="-49.464715541916696"/>
    <s v="2024-12"/>
  </r>
  <r>
    <s v="C0378"/>
    <x v="129"/>
    <x v="1"/>
    <x v="1"/>
    <n v="6471.13"/>
    <n v="5334.24"/>
    <n v="130452"/>
    <n v="4881"/>
    <n v="864"/>
    <n v="22987.15"/>
    <n v="3.7416061079937446E-2"/>
    <n v="1.0928580208973571"/>
    <n v="6.1738888888888885"/>
    <n v="4.3093580341341973"/>
    <n v="17652.910000000003"/>
    <n v="76.794687466693361"/>
    <s v="2025-01"/>
  </r>
  <r>
    <s v="C0379"/>
    <x v="21"/>
    <x v="2"/>
    <x v="3"/>
    <n v="7782.81"/>
    <n v="6404"/>
    <n v="115837"/>
    <n v="5035"/>
    <n v="407"/>
    <n v="18533.240000000002"/>
    <n v="4.3466249989208977E-2"/>
    <n v="1.271896722939424"/>
    <n v="15.734643734643734"/>
    <n v="2.8940099937539041"/>
    <n v="12129.240000000002"/>
    <n v="65.445869151859043"/>
    <s v="2025-04"/>
  </r>
  <r>
    <s v="C0380"/>
    <x v="93"/>
    <x v="0"/>
    <x v="0"/>
    <n v="6466.03"/>
    <n v="6105.07"/>
    <n v="186219"/>
    <n v="6823"/>
    <n v="526"/>
    <n v="19868.189999999999"/>
    <n v="3.6639655459432173E-2"/>
    <n v="0.89477795691044992"/>
    <n v="11.606596958174904"/>
    <n v="3.2543754617064176"/>
    <n v="13763.119999999999"/>
    <n v="69.272138025658109"/>
    <s v="2025-05"/>
  </r>
  <r>
    <s v="C0381"/>
    <x v="43"/>
    <x v="2"/>
    <x v="2"/>
    <n v="8772.77"/>
    <n v="7933.59"/>
    <n v="165044"/>
    <n v="3343"/>
    <n v="448"/>
    <n v="18072.54"/>
    <n v="2.0255204672693341E-2"/>
    <n v="2.3731947352677238"/>
    <n v="17.708906250000002"/>
    <n v="2.2779775612301618"/>
    <n v="10138.950000000001"/>
    <n v="56.101411312410988"/>
    <s v="2025-02"/>
  </r>
  <r>
    <s v="C0382"/>
    <x v="96"/>
    <x v="0"/>
    <x v="2"/>
    <n v="6960.12"/>
    <n v="6125.66"/>
    <n v="181245"/>
    <n v="4787"/>
    <n v="615"/>
    <n v="28510.720000000001"/>
    <n v="2.6411763083119533E-2"/>
    <n v="1.2796448715270523"/>
    <n v="9.9604227642276424"/>
    <n v="4.6543099029329085"/>
    <n v="22385.06"/>
    <n v="78.514537689683038"/>
    <s v="2025-04"/>
  </r>
  <r>
    <s v="C0383"/>
    <x v="159"/>
    <x v="3"/>
    <x v="3"/>
    <n v="8581.98"/>
    <n v="8560.83"/>
    <n v="125026"/>
    <n v="4106"/>
    <n v="468"/>
    <n v="21302.17"/>
    <n v="3.284116903684034E-2"/>
    <n v="2.084956161714564"/>
    <n v="18.292371794871794"/>
    <n v="2.4883299866952151"/>
    <n v="12741.339999999998"/>
    <n v="59.812404088409764"/>
    <s v="2025-06"/>
  </r>
  <r>
    <s v="C0384"/>
    <x v="160"/>
    <x v="1"/>
    <x v="2"/>
    <n v="9071.06"/>
    <n v="9184.5300000000007"/>
    <n v="172320"/>
    <n v="5189"/>
    <n v="470"/>
    <n v="21201.89"/>
    <n v="3.0112581244196843E-2"/>
    <n v="1.77"/>
    <n v="19.541553191489363"/>
    <n v="2.3084349444119621"/>
    <n v="12017.359999999999"/>
    <n v="56.680607247750082"/>
    <s v="2025-02"/>
  </r>
  <r>
    <s v="C0385"/>
    <x v="77"/>
    <x v="0"/>
    <x v="3"/>
    <n v="7882.3"/>
    <n v="7914.16"/>
    <n v="169951"/>
    <n v="5839"/>
    <n v="987"/>
    <n v="38057.08"/>
    <n v="3.4356961712493604E-2"/>
    <n v="1.3553964719986298"/>
    <n v="8.0183991894630182"/>
    <n v="4.8087327018912935"/>
    <n v="30142.920000000002"/>
    <n v="79.204500187612922"/>
    <s v="2025-04"/>
  </r>
  <r>
    <s v="C0386"/>
    <x v="122"/>
    <x v="0"/>
    <x v="1"/>
    <n v="8269.02"/>
    <n v="7008.67"/>
    <n v="117094"/>
    <n v="1370"/>
    <n v="194"/>
    <n v="9006.67"/>
    <n v="1.1700001708029446E-2"/>
    <n v="5.1158175182481749"/>
    <n v="36.127164948453611"/>
    <n v="1.2850754850777679"/>
    <n v="1998"/>
    <n v="22.183559517557544"/>
    <s v="2025-04"/>
  </r>
  <r>
    <s v="C0387"/>
    <x v="77"/>
    <x v="2"/>
    <x v="1"/>
    <n v="9102.9"/>
    <n v="7362.19"/>
    <n v="54766"/>
    <n v="2723"/>
    <n v="466"/>
    <n v="20864.919999999998"/>
    <n v="4.9720629587700398E-2"/>
    <n v="2.7037054719059861"/>
    <n v="15.798690987124463"/>
    <n v="2.8340643205350582"/>
    <n v="13502.73"/>
    <n v="64.714985727239792"/>
    <s v="2025-04"/>
  </r>
  <r>
    <s v="C0388"/>
    <x v="46"/>
    <x v="2"/>
    <x v="3"/>
    <n v="3902.09"/>
    <n v="3513.97"/>
    <n v="197025"/>
    <n v="6420"/>
    <n v="253"/>
    <n v="10703.23"/>
    <n v="3.2584697373429769E-2"/>
    <n v="0.54734735202492213"/>
    <n v="13.889209486166006"/>
    <n v="3.0459081893129425"/>
    <n v="7189.26"/>
    <n v="67.169069523872707"/>
    <s v="2025-01"/>
  </r>
  <r>
    <s v="C0389"/>
    <x v="79"/>
    <x v="0"/>
    <x v="1"/>
    <n v="4125.32"/>
    <n v="4312.57"/>
    <n v="119124"/>
    <n v="3940"/>
    <n v="727"/>
    <n v="32688.85"/>
    <n v="3.307477922165139E-2"/>
    <n v="1.0945609137055836"/>
    <n v="5.9320082530949101"/>
    <n v="7.5799001523453535"/>
    <n v="28376.28"/>
    <n v="86.807214080642183"/>
    <s v="2025-02"/>
  </r>
  <r>
    <s v="C0390"/>
    <x v="159"/>
    <x v="2"/>
    <x v="3"/>
    <n v="6552.27"/>
    <n v="5254.37"/>
    <n v="68519"/>
    <n v="3190"/>
    <n v="282"/>
    <n v="8068.34"/>
    <n v="4.6556429603467654E-2"/>
    <n v="1.6471379310344827"/>
    <n v="18.632517730496453"/>
    <n v="1.5355485053393652"/>
    <n v="2813.9700000000003"/>
    <n v="34.87669086825791"/>
    <s v="2025-06"/>
  </r>
  <r>
    <s v="C0391"/>
    <x v="84"/>
    <x v="0"/>
    <x v="3"/>
    <n v="7318.49"/>
    <n v="8009.03"/>
    <n v="140986"/>
    <n v="2922"/>
    <n v="339"/>
    <n v="13205.54"/>
    <n v="2.0725462102620117E-2"/>
    <n v="2.7409411362080767"/>
    <n v="23.625457227138643"/>
    <n v="1.648831381578044"/>
    <n v="5196.5100000000011"/>
    <n v="39.350984511046128"/>
    <s v="2025-02"/>
  </r>
  <r>
    <s v="C0392"/>
    <x v="96"/>
    <x v="0"/>
    <x v="3"/>
    <n v="4818.63"/>
    <n v="4771.42"/>
    <n v="175888"/>
    <n v="8565"/>
    <n v="610"/>
    <n v="22081.73"/>
    <n v="4.8695760938779226E-2"/>
    <n v="0.55708347927612378"/>
    <n v="7.8220000000000001"/>
    <n v="4.6279157986511352"/>
    <n v="17310.309999999998"/>
    <n v="78.392000989052931"/>
    <s v="2025-04"/>
  </r>
  <r>
    <s v="C0393"/>
    <x v="53"/>
    <x v="1"/>
    <x v="1"/>
    <n v="8458.92"/>
    <n v="7038.62"/>
    <n v="187533"/>
    <n v="7387"/>
    <n v="925"/>
    <n v="39618.519999999997"/>
    <n v="3.9390400622823715E-2"/>
    <n v="0.95283877081359147"/>
    <n v="7.6093189189189188"/>
    <n v="5.628734041616112"/>
    <n v="32579.899999999998"/>
    <n v="82.23401580876822"/>
    <s v="2024-12"/>
  </r>
  <r>
    <s v="C0394"/>
    <x v="45"/>
    <x v="3"/>
    <x v="1"/>
    <n v="6788.87"/>
    <n v="7392.38"/>
    <n v="91252"/>
    <n v="1758"/>
    <n v="270"/>
    <n v="8169.16"/>
    <n v="1.9265331170823654E-2"/>
    <n v="4.2049943117178614"/>
    <n v="27.379185185185186"/>
    <n v="1.1050784726975615"/>
    <n v="776.77999999999975"/>
    <n v="9.5086887758349672"/>
    <s v="2025-03"/>
  </r>
  <r>
    <s v="C0395"/>
    <x v="73"/>
    <x v="1"/>
    <x v="0"/>
    <n v="7428.35"/>
    <n v="8019.71"/>
    <n v="145695"/>
    <n v="2785"/>
    <n v="83"/>
    <n v="1915.25"/>
    <n v="1.9115275060914923E-2"/>
    <n v="2.879608617594255"/>
    <n v="96.623012048192777"/>
    <n v="0.23881786249128709"/>
    <n v="-6104.46"/>
    <n v="-318.7291476308576"/>
    <s v="2025-03"/>
  </r>
  <r>
    <s v="C0396"/>
    <x v="161"/>
    <x v="1"/>
    <x v="1"/>
    <n v="9560.6"/>
    <n v="9621.4599999999991"/>
    <n v="165271"/>
    <n v="3470"/>
    <n v="651"/>
    <n v="14344.86"/>
    <n v="2.0995818988207248E-2"/>
    <n v="2.7727550432276655"/>
    <n v="14.779508448540705"/>
    <n v="1.4909234149494985"/>
    <n v="4723.4000000000015"/>
    <n v="32.927473673496998"/>
    <s v="2025-05"/>
  </r>
  <r>
    <s v="C0397"/>
    <x v="86"/>
    <x v="3"/>
    <x v="1"/>
    <n v="5106.74"/>
    <n v="5170.33"/>
    <n v="69967"/>
    <n v="1422"/>
    <n v="153"/>
    <n v="3369.14"/>
    <n v="2.0323866965855333E-2"/>
    <n v="3.6359563994374122"/>
    <n v="33.793006535947711"/>
    <n v="0.65162958650608371"/>
    <n v="-1801.19"/>
    <n v="-53.461417453712222"/>
    <s v="2025-04"/>
  </r>
  <r>
    <s v="C0398"/>
    <x v="70"/>
    <x v="4"/>
    <x v="0"/>
    <n v="7075.19"/>
    <n v="6394.31"/>
    <n v="193477"/>
    <n v="8585"/>
    <n v="591"/>
    <n v="22828.83"/>
    <n v="4.4372199279500923E-2"/>
    <n v="0.74482352941176477"/>
    <n v="10.81947546531303"/>
    <n v="3.5701787995890095"/>
    <n v="16434.52"/>
    <n v="71.990198358829602"/>
    <s v="2025-04"/>
  </r>
  <r>
    <s v="C0399"/>
    <x v="83"/>
    <x v="4"/>
    <x v="0"/>
    <n v="3320.19"/>
    <n v="3524.25"/>
    <n v="180485"/>
    <n v="1392"/>
    <n v="278"/>
    <n v="13678.9"/>
    <n v="7.7125522896639613E-3"/>
    <n v="2.5317887931034484"/>
    <n v="12.677158273381295"/>
    <n v="3.8813648293963254"/>
    <n v="10154.65"/>
    <n v="74.235866919123623"/>
    <s v="2025-03"/>
  </r>
  <r>
    <s v="C0400"/>
    <x v="34"/>
    <x v="0"/>
    <x v="2"/>
    <n v="9782.14"/>
    <n v="10025.67"/>
    <n v="149220"/>
    <n v="5688"/>
    <n v="531"/>
    <n v="12692.27"/>
    <n v="3.8118214716525933E-2"/>
    <n v="1.7626002109704642"/>
    <n v="18.880734463276838"/>
    <n v="1.2659772364340738"/>
    <n v="2666.6000000000004"/>
    <n v="21.009638149834508"/>
    <s v="2025-03"/>
  </r>
  <r>
    <s v="C0401"/>
    <x v="98"/>
    <x v="3"/>
    <x v="1"/>
    <n v="8307.84"/>
    <n v="6707.55"/>
    <n v="128069"/>
    <n v="2283"/>
    <n v="270"/>
    <n v="5579.2"/>
    <n v="1.7826327995065162E-2"/>
    <n v="2.938042049934297"/>
    <n v="24.84277777777778"/>
    <n v="0.83177911457983911"/>
    <n v="-1128.3500000000004"/>
    <n v="-20.224225695440214"/>
    <s v="2025-04"/>
  </r>
  <r>
    <s v="C0402"/>
    <x v="162"/>
    <x v="3"/>
    <x v="0"/>
    <n v="5265.27"/>
    <n v="4984.07"/>
    <n v="50640"/>
    <n v="1609"/>
    <n v="321"/>
    <n v="13839.02"/>
    <n v="3.1773301737756714E-2"/>
    <n v="3.097619639527657"/>
    <n v="15.526697819314641"/>
    <n v="2.7766504082005272"/>
    <n v="8854.9500000000007"/>
    <n v="63.985383358070159"/>
    <s v="2025-02"/>
  </r>
  <r>
    <s v="C0403"/>
    <x v="28"/>
    <x v="1"/>
    <x v="3"/>
    <n v="7783.07"/>
    <n v="7267.6"/>
    <n v="159631"/>
    <n v="5836"/>
    <n v="861"/>
    <n v="24287.78"/>
    <n v="3.6559314920034329E-2"/>
    <n v="1.2453050034270048"/>
    <n v="8.4408826945412319"/>
    <n v="3.341925807694424"/>
    <n v="17020.18"/>
    <n v="70.077133439120416"/>
    <s v="2025-05"/>
  </r>
  <r>
    <s v="C0404"/>
    <x v="136"/>
    <x v="4"/>
    <x v="3"/>
    <n v="9979.8700000000008"/>
    <n v="9259.8700000000008"/>
    <n v="92070"/>
    <n v="2984"/>
    <n v="369"/>
    <n v="12376.85"/>
    <n v="3.2410122732703377E-2"/>
    <n v="3.1031735924932979"/>
    <n v="25.094498644986452"/>
    <n v="1.3366116370964169"/>
    <n v="3116.9799999999996"/>
    <n v="25.183952298040289"/>
    <s v="2024-12"/>
  </r>
  <r>
    <s v="C0405"/>
    <x v="63"/>
    <x v="1"/>
    <x v="2"/>
    <n v="4145.37"/>
    <n v="4304.7299999999996"/>
    <n v="138224"/>
    <n v="4150"/>
    <n v="232"/>
    <n v="9468.0300000000007"/>
    <n v="3.0023729598333139E-2"/>
    <n v="1.0372843373493974"/>
    <n v="18.554870689655171"/>
    <n v="2.1994480490065582"/>
    <n v="5163.3000000000011"/>
    <n v="54.534047737491335"/>
    <s v="2025-06"/>
  </r>
  <r>
    <s v="C0406"/>
    <x v="111"/>
    <x v="2"/>
    <x v="0"/>
    <n v="4545.3900000000003"/>
    <n v="3748.65"/>
    <n v="63940"/>
    <n v="2107"/>
    <n v="352"/>
    <n v="14226.07"/>
    <n v="3.2952768220206444E-2"/>
    <n v="1.779140958709065"/>
    <n v="10.649573863636364"/>
    <n v="3.7949848612167045"/>
    <n v="10477.42"/>
    <n v="73.649433750853191"/>
    <s v="2025-02"/>
  </r>
  <r>
    <s v="C0407"/>
    <x v="16"/>
    <x v="2"/>
    <x v="3"/>
    <n v="7581.58"/>
    <n v="6686.79"/>
    <n v="192599"/>
    <n v="7700"/>
    <n v="1117"/>
    <n v="54203.44"/>
    <n v="3.9979439145582274E-2"/>
    <n v="0.86841428571428569"/>
    <n v="5.986383169203223"/>
    <n v="8.1060478944306613"/>
    <n v="47516.65"/>
    <n v="87.663532056268011"/>
    <s v="2025-05"/>
  </r>
  <r>
    <s v="C0408"/>
    <x v="94"/>
    <x v="1"/>
    <x v="1"/>
    <n v="4057.41"/>
    <n v="3772.18"/>
    <n v="65526"/>
    <n v="2744"/>
    <n v="447"/>
    <n v="21593.89"/>
    <n v="4.1876507035375272E-2"/>
    <n v="1.374701166180758"/>
    <n v="8.4388814317673368"/>
    <n v="5.7245120858495619"/>
    <n v="17821.71"/>
    <n v="82.531262315404959"/>
    <s v="2025-05"/>
  </r>
  <r>
    <s v="C0409"/>
    <x v="10"/>
    <x v="0"/>
    <x v="0"/>
    <n v="5938.09"/>
    <n v="5887.96"/>
    <n v="149688"/>
    <n v="5146"/>
    <n v="512"/>
    <n v="16347.05"/>
    <n v="3.4378173267062155E-2"/>
    <n v="1.1441818888457054"/>
    <n v="11.499921875"/>
    <n v="2.7763520811962037"/>
    <n v="10459.09"/>
    <n v="63.981513484084282"/>
    <s v="2025-04"/>
  </r>
  <r>
    <s v="C0410"/>
    <x v="129"/>
    <x v="0"/>
    <x v="2"/>
    <n v="4919.51"/>
    <n v="5387.81"/>
    <n v="118998"/>
    <n v="1453"/>
    <n v="106"/>
    <n v="3421.68"/>
    <n v="1.2210289248558799E-2"/>
    <n v="3.7080591878871303"/>
    <n v="50.828396226415101"/>
    <n v="0.6350780743938631"/>
    <n v="-1966.1300000000006"/>
    <n v="-57.460954852587051"/>
    <s v="2025-01"/>
  </r>
  <r>
    <s v="C0411"/>
    <x v="59"/>
    <x v="1"/>
    <x v="0"/>
    <n v="9258.69"/>
    <n v="8045.68"/>
    <n v="115280"/>
    <n v="3264"/>
    <n v="281"/>
    <n v="7416.47"/>
    <n v="2.8313671061762666E-2"/>
    <n v="2.4649754901960783"/>
    <n v="28.632313167259788"/>
    <n v="0.92179529884360301"/>
    <n v="-629.21"/>
    <n v="-8.483955304882242"/>
    <s v="2025-01"/>
  </r>
  <r>
    <s v="C0412"/>
    <x v="45"/>
    <x v="4"/>
    <x v="0"/>
    <n v="3217.94"/>
    <n v="3203.46"/>
    <n v="129278"/>
    <n v="5246"/>
    <n v="346"/>
    <n v="10745.3"/>
    <n v="4.0579216881449283E-2"/>
    <n v="0.61064811284788412"/>
    <n v="9.2585549132947982"/>
    <n v="3.3542794353605161"/>
    <n v="7541.8399999999992"/>
    <n v="70.187337719747234"/>
    <s v="2025-03"/>
  </r>
  <r>
    <s v="C0413"/>
    <x v="124"/>
    <x v="2"/>
    <x v="1"/>
    <n v="9050.51"/>
    <n v="8525.25"/>
    <n v="113951"/>
    <n v="4911"/>
    <n v="623"/>
    <n v="30555.54"/>
    <n v="4.3097471720300831E-2"/>
    <n v="1.7359499083689676"/>
    <n v="13.684189406099518"/>
    <n v="3.5841224597519137"/>
    <n v="22030.29"/>
    <n v="72.099167614121697"/>
    <s v="2025-05"/>
  </r>
  <r>
    <s v="C0414"/>
    <x v="76"/>
    <x v="3"/>
    <x v="0"/>
    <n v="4298.68"/>
    <n v="4559.12"/>
    <n v="160215"/>
    <n v="4360"/>
    <n v="734"/>
    <n v="31780.66"/>
    <n v="2.7213431950816092E-2"/>
    <n v="1.0456697247706421"/>
    <n v="6.2113351498637597"/>
    <n v="6.9707882222885118"/>
    <n v="27221.54"/>
    <n v="85.654420015191633"/>
    <s v="2025-02"/>
  </r>
  <r>
    <s v="C0415"/>
    <x v="100"/>
    <x v="4"/>
    <x v="1"/>
    <n v="8396.4500000000007"/>
    <n v="8845.11"/>
    <n v="176532"/>
    <n v="2317"/>
    <n v="156"/>
    <n v="6681.59"/>
    <n v="1.3125099132168671E-2"/>
    <n v="3.8174838152783774"/>
    <n v="56.699423076923082"/>
    <n v="0.75539931103174518"/>
    <n v="-2163.5200000000004"/>
    <n v="-32.380316661154012"/>
    <s v="2025-05"/>
  </r>
  <r>
    <s v="C0416"/>
    <x v="38"/>
    <x v="3"/>
    <x v="2"/>
    <n v="7383.54"/>
    <n v="6197.55"/>
    <n v="93893"/>
    <n v="3140"/>
    <n v="208"/>
    <n v="4362.96"/>
    <n v="3.3442322643860566E-2"/>
    <n v="1.9737420382165605"/>
    <n v="29.795913461538461"/>
    <n v="0.70398141200958442"/>
    <n v="-1834.5900000000001"/>
    <n v="-42.049205126794661"/>
    <s v="2025-04"/>
  </r>
  <r>
    <s v="C0417"/>
    <x v="35"/>
    <x v="3"/>
    <x v="3"/>
    <n v="9445.93"/>
    <n v="9304.19"/>
    <n v="70743"/>
    <n v="1210"/>
    <n v="52"/>
    <n v="2282.6"/>
    <n v="1.710416578318703E-2"/>
    <n v="7.6894132231404964"/>
    <n v="178.92673076923077"/>
    <n v="0.24533032966867613"/>
    <n v="-7021.59"/>
    <n v="-307.6136861473758"/>
    <s v="2025-04"/>
  </r>
  <r>
    <s v="C0418"/>
    <x v="8"/>
    <x v="4"/>
    <x v="1"/>
    <n v="6370.66"/>
    <n v="5320.73"/>
    <n v="84061"/>
    <n v="1539"/>
    <n v="177"/>
    <n v="4204.74"/>
    <n v="1.8308133379331674E-2"/>
    <n v="3.4572644574398956"/>
    <n v="30.060621468926552"/>
    <n v="0.79025622423990693"/>
    <n v="-1115.9899999999998"/>
    <n v="-26.541236794665064"/>
    <s v="2025-02"/>
  </r>
  <r>
    <s v="C0419"/>
    <x v="9"/>
    <x v="1"/>
    <x v="2"/>
    <n v="7798.96"/>
    <n v="7245.95"/>
    <n v="108436"/>
    <n v="3545"/>
    <n v="81"/>
    <n v="2107.2800000000002"/>
    <n v="3.2692094876240363E-2"/>
    <n v="2.0439915373765869"/>
    <n v="89.456172839506166"/>
    <n v="0.29082176940221782"/>
    <n v="-5138.67"/>
    <n v="-243.8532136213507"/>
    <s v="2025-03"/>
  </r>
  <r>
    <s v="C0420"/>
    <x v="152"/>
    <x v="3"/>
    <x v="2"/>
    <n v="6441.16"/>
    <n v="5277"/>
    <n v="143676"/>
    <n v="6117"/>
    <n v="461"/>
    <n v="17268.66"/>
    <n v="4.2574960327403322E-2"/>
    <n v="0.86267778322707211"/>
    <n v="11.446854663774403"/>
    <n v="3.2724388857305287"/>
    <n v="11991.66"/>
    <n v="69.441751705112026"/>
    <s v="2025-01"/>
  </r>
  <r>
    <s v="C0421"/>
    <x v="38"/>
    <x v="2"/>
    <x v="3"/>
    <n v="4882.95"/>
    <n v="5074.6899999999996"/>
    <n v="76424"/>
    <n v="1044"/>
    <n v="91"/>
    <n v="2667.29"/>
    <n v="1.3660630168533444E-2"/>
    <n v="4.8608141762452099"/>
    <n v="55.765824175824172"/>
    <n v="0.52560649024866546"/>
    <n v="-2407.3999999999996"/>
    <n v="-90.256402565900203"/>
    <s v="2025-04"/>
  </r>
  <r>
    <s v="C0422"/>
    <x v="129"/>
    <x v="2"/>
    <x v="0"/>
    <n v="6186.54"/>
    <n v="4970.8"/>
    <n v="131046"/>
    <n v="6398"/>
    <n v="1049"/>
    <n v="23259.9"/>
    <n v="4.8822550860003359E-2"/>
    <n v="0.77693029071584874"/>
    <n v="4.73860819828408"/>
    <n v="4.6793071537780637"/>
    <n v="18289.100000000002"/>
    <n v="78.629314829384484"/>
    <s v="2025-01"/>
  </r>
  <r>
    <s v="C0423"/>
    <x v="163"/>
    <x v="4"/>
    <x v="0"/>
    <n v="5747.45"/>
    <n v="5425.49"/>
    <n v="69001"/>
    <n v="2029"/>
    <n v="320"/>
    <n v="12160.2"/>
    <n v="2.9405370936653092E-2"/>
    <n v="2.6739724001971412"/>
    <n v="16.954656249999999"/>
    <n v="2.241309079917206"/>
    <n v="6734.7100000000009"/>
    <n v="55.383217381293072"/>
    <s v="2025-05"/>
  </r>
  <r>
    <s v="C0424"/>
    <x v="47"/>
    <x v="0"/>
    <x v="3"/>
    <n v="5041.6400000000003"/>
    <n v="5084.47"/>
    <n v="179928"/>
    <n v="5522"/>
    <n v="900"/>
    <n v="41223.300000000003"/>
    <n v="3.0690053799297498E-2"/>
    <n v="0.92076602680188346"/>
    <n v="5.6494111111111112"/>
    <n v="8.1076887069842094"/>
    <n v="36138.83"/>
    <n v="87.666028677956405"/>
    <s v="2025-01"/>
  </r>
  <r>
    <s v="C0425"/>
    <x v="148"/>
    <x v="4"/>
    <x v="1"/>
    <n v="8458.9599999999991"/>
    <n v="6867.71"/>
    <n v="151737"/>
    <n v="6324"/>
    <n v="1140"/>
    <n v="39233.339999999997"/>
    <n v="4.1677375986081178E-2"/>
    <n v="1.0859756483238456"/>
    <n v="6.02430701754386"/>
    <n v="5.7127252024328339"/>
    <n v="32365.629999999997"/>
    <n v="82.495219626980514"/>
    <s v="2025-02"/>
  </r>
  <r>
    <s v="C0426"/>
    <x v="12"/>
    <x v="2"/>
    <x v="0"/>
    <n v="3734.51"/>
    <n v="3258.78"/>
    <n v="188031"/>
    <n v="2257"/>
    <n v="398"/>
    <n v="19740.75"/>
    <n v="1.2003339874807877E-2"/>
    <n v="1.4438546743464777"/>
    <n v="8.1878894472361807"/>
    <n v="6.0577117817097195"/>
    <n v="16481.97"/>
    <n v="83.492116560920948"/>
    <s v="2025-01"/>
  </r>
  <r>
    <s v="C0427"/>
    <x v="33"/>
    <x v="0"/>
    <x v="1"/>
    <n v="3997.47"/>
    <n v="3796.26"/>
    <n v="55760"/>
    <n v="2026"/>
    <n v="179"/>
    <n v="6899.5"/>
    <n v="3.6334289813486367E-2"/>
    <n v="1.873770977295163"/>
    <n v="21.208156424581006"/>
    <n v="1.8174466448557263"/>
    <n v="3103.24"/>
    <n v="44.977752011015291"/>
    <s v="2025-04"/>
  </r>
  <r>
    <s v="C0428"/>
    <x v="135"/>
    <x v="4"/>
    <x v="0"/>
    <n v="7917.25"/>
    <n v="7663.06"/>
    <n v="94851"/>
    <n v="2639"/>
    <n v="396"/>
    <n v="8036.08"/>
    <n v="2.7822584896311058E-2"/>
    <n v="2.9037741568776054"/>
    <n v="19.351161616161619"/>
    <n v="1.0486776822835786"/>
    <n v="373.01999999999953"/>
    <n v="4.6418154124896658"/>
    <s v="2025-05"/>
  </r>
  <r>
    <s v="C0429"/>
    <x v="117"/>
    <x v="1"/>
    <x v="1"/>
    <n v="5285.23"/>
    <n v="5049.05"/>
    <n v="134423"/>
    <n v="2548"/>
    <n v="363"/>
    <n v="8216.8700000000008"/>
    <n v="1.895508953080946E-2"/>
    <n v="1.9815737833594977"/>
    <n v="13.909228650137742"/>
    <n v="1.6274091165664828"/>
    <n v="3167.8200000000006"/>
    <n v="38.5526362227953"/>
    <s v="2025-05"/>
  </r>
  <r>
    <s v="C0430"/>
    <x v="65"/>
    <x v="3"/>
    <x v="2"/>
    <n v="5454.39"/>
    <n v="4417.84"/>
    <n v="111462"/>
    <n v="5187"/>
    <n v="280"/>
    <n v="6260.06"/>
    <n v="4.6536039188243526E-2"/>
    <n v="0.85171390013495274"/>
    <n v="15.778"/>
    <n v="1.416995635876356"/>
    <n v="1842.2200000000003"/>
    <n v="29.428152445823201"/>
    <s v="2025-02"/>
  </r>
  <r>
    <s v="C0431"/>
    <x v="84"/>
    <x v="2"/>
    <x v="1"/>
    <n v="5778.46"/>
    <n v="4852.84"/>
    <n v="102748"/>
    <n v="1293"/>
    <n v="60"/>
    <n v="2221.5700000000002"/>
    <n v="1.2584186553509557E-2"/>
    <n v="3.7531631863882446"/>
    <n v="80.88066666666667"/>
    <n v="0.45778760478400277"/>
    <n v="-2631.27"/>
    <n v="-118.44191270137784"/>
    <s v="2025-02"/>
  </r>
  <r>
    <s v="C0432"/>
    <x v="27"/>
    <x v="0"/>
    <x v="2"/>
    <n v="7826.25"/>
    <n v="8140.68"/>
    <n v="180765"/>
    <n v="5270"/>
    <n v="513"/>
    <n v="13340.31"/>
    <n v="2.915387381406799E-2"/>
    <n v="1.5447210626185959"/>
    <n v="15.868771929824561"/>
    <n v="1.6387218266778696"/>
    <n v="5199.6299999999992"/>
    <n v="38.976830373507063"/>
    <s v="2025-04"/>
  </r>
  <r>
    <s v="C0433"/>
    <x v="35"/>
    <x v="0"/>
    <x v="1"/>
    <n v="4172.38"/>
    <n v="3468.79"/>
    <n v="143614"/>
    <n v="4002"/>
    <n v="362"/>
    <n v="14151.63"/>
    <n v="2.7866364003509406E-2"/>
    <n v="0.86676411794102948"/>
    <n v="9.5822928176795585"/>
    <n v="4.0797021439752763"/>
    <n v="10682.84"/>
    <n v="75.488406635843361"/>
    <s v="2025-04"/>
  </r>
  <r>
    <s v="C0434"/>
    <x v="117"/>
    <x v="1"/>
    <x v="2"/>
    <n v="7945.33"/>
    <n v="6431.55"/>
    <n v="174898"/>
    <n v="7877"/>
    <n v="806"/>
    <n v="38757.61"/>
    <n v="4.5037679104392277E-2"/>
    <n v="0.81649739748635275"/>
    <n v="7.9795905707196031"/>
    <n v="6.0261694303861431"/>
    <n v="32326.06"/>
    <n v="83.405710517237779"/>
    <s v="2025-05"/>
  </r>
  <r>
    <s v="C0435"/>
    <x v="78"/>
    <x v="3"/>
    <x v="3"/>
    <n v="3363.8"/>
    <n v="3237.28"/>
    <n v="179667"/>
    <n v="3625"/>
    <n v="357"/>
    <n v="14734.04"/>
    <n v="2.0176214886428782E-2"/>
    <n v="0.89304275862068971"/>
    <n v="9.0680112044817935"/>
    <n v="4.5513641081401675"/>
    <n v="11496.76"/>
    <n v="78.028565145744139"/>
    <s v="2025-04"/>
  </r>
  <r>
    <s v="C0436"/>
    <x v="30"/>
    <x v="4"/>
    <x v="0"/>
    <n v="9096.7800000000007"/>
    <n v="9226.19"/>
    <n v="142353"/>
    <n v="4745"/>
    <n v="555"/>
    <n v="24448.77"/>
    <n v="3.333263085428477E-2"/>
    <n v="1.9444025289778715"/>
    <n v="16.623765765765768"/>
    <n v="2.6499313367706496"/>
    <n v="15222.58"/>
    <n v="62.263173157586252"/>
    <s v="2024-12"/>
  </r>
  <r>
    <s v="C0437"/>
    <x v="164"/>
    <x v="2"/>
    <x v="1"/>
    <n v="5376.15"/>
    <n v="5615.11"/>
    <n v="161295"/>
    <n v="7131"/>
    <n v="124"/>
    <n v="2778.03"/>
    <n v="4.4210917883381384E-2"/>
    <n v="0.78742252138549984"/>
    <n v="45.283145161290321"/>
    <n v="0.49474186614331694"/>
    <n v="-2837.0799999999995"/>
    <n v="-102.12560699488485"/>
    <s v="2025-06"/>
  </r>
  <r>
    <s v="C0438"/>
    <x v="16"/>
    <x v="0"/>
    <x v="2"/>
    <n v="9263.7199999999993"/>
    <n v="8932.7999999999993"/>
    <n v="72755"/>
    <n v="2170"/>
    <n v="58"/>
    <n v="2582.1"/>
    <n v="2.9826128788399422E-2"/>
    <n v="4.1164976958525346"/>
    <n v="154.01379310344825"/>
    <n v="0.28905830198817839"/>
    <n v="-6350.6999999999989"/>
    <n v="-245.95097014058322"/>
    <s v="2025-05"/>
  </r>
  <r>
    <s v="C0439"/>
    <x v="114"/>
    <x v="3"/>
    <x v="3"/>
    <n v="6166.23"/>
    <n v="6123.52"/>
    <n v="136413"/>
    <n v="3434"/>
    <n v="635"/>
    <n v="22727.97"/>
    <n v="2.5173553840176523E-2"/>
    <n v="1.783203261502621"/>
    <n v="9.6433385826771669"/>
    <n v="3.7115858199205687"/>
    <n v="16604.45"/>
    <n v="73.057338600851722"/>
    <s v="2025-04"/>
  </r>
  <r>
    <s v="C0440"/>
    <x v="128"/>
    <x v="4"/>
    <x v="2"/>
    <n v="8121.13"/>
    <n v="6695.78"/>
    <n v="190122"/>
    <n v="2084"/>
    <n v="362"/>
    <n v="7895.42"/>
    <n v="1.0961382691114126E-2"/>
    <n v="3.2129462571976966"/>
    <n v="18.496629834254144"/>
    <n v="1.1791635925911546"/>
    <n v="1199.6400000000003"/>
    <n v="15.194125201699215"/>
    <s v="2025-02"/>
  </r>
  <r>
    <s v="C0441"/>
    <x v="46"/>
    <x v="3"/>
    <x v="0"/>
    <n v="4729.72"/>
    <n v="4010.16"/>
    <n v="84930"/>
    <n v="1915"/>
    <n v="303"/>
    <n v="13984.51"/>
    <n v="2.2547980689979985E-2"/>
    <n v="2.0940783289817233"/>
    <n v="13.234851485148514"/>
    <n v="3.487269834620065"/>
    <n v="9974.35"/>
    <n v="71.324272355627755"/>
    <s v="2025-01"/>
  </r>
  <r>
    <s v="C0442"/>
    <x v="36"/>
    <x v="0"/>
    <x v="0"/>
    <n v="4534.5"/>
    <n v="4955.12"/>
    <n v="120822"/>
    <n v="1992"/>
    <n v="277"/>
    <n v="8339.6"/>
    <n v="1.6487063614242438E-2"/>
    <n v="2.4875100401606427"/>
    <n v="17.888519855595668"/>
    <n v="1.6830268489965936"/>
    <n v="3384.4800000000005"/>
    <n v="40.583241402465347"/>
    <s v="2025-01"/>
  </r>
  <r>
    <s v="C0443"/>
    <x v="61"/>
    <x v="2"/>
    <x v="0"/>
    <n v="4274.83"/>
    <n v="4432.6099999999997"/>
    <n v="108943"/>
    <n v="3924"/>
    <n v="687"/>
    <n v="27315.97"/>
    <n v="3.6018835537850069E-2"/>
    <n v="1.1296151885830783"/>
    <n v="6.4521251819505085"/>
    <n v="6.1625024534078126"/>
    <n v="22883.360000000001"/>
    <n v="83.772825932961553"/>
    <s v="2025-03"/>
  </r>
  <r>
    <s v="C0444"/>
    <x v="82"/>
    <x v="4"/>
    <x v="1"/>
    <n v="6487.37"/>
    <n v="6270.75"/>
    <n v="145244"/>
    <n v="7015"/>
    <n v="623"/>
    <n v="25901.88"/>
    <n v="4.8298036407700147E-2"/>
    <n v="0.89390591589451174"/>
    <n v="10.065409309791333"/>
    <n v="4.1305872503289081"/>
    <n v="19631.13"/>
    <n v="75.790367340131297"/>
    <s v="2025-03"/>
  </r>
  <r>
    <s v="C0445"/>
    <x v="26"/>
    <x v="3"/>
    <x v="0"/>
    <n v="4599.18"/>
    <n v="5054.04"/>
    <n v="174584"/>
    <n v="5659"/>
    <n v="91"/>
    <n v="4481.1899999999996"/>
    <n v="3.2414196031709662E-2"/>
    <n v="0.89309772044530833"/>
    <n v="55.5389010989011"/>
    <n v="0.88665503240971577"/>
    <n v="-572.85000000000036"/>
    <n v="-12.783434757285461"/>
    <s v="2025-01"/>
  </r>
  <r>
    <s v="C0446"/>
    <x v="73"/>
    <x v="3"/>
    <x v="2"/>
    <n v="7552.28"/>
    <n v="6493.92"/>
    <n v="187179"/>
    <n v="9269"/>
    <n v="1087"/>
    <n v="43922.239999999998"/>
    <n v="4.9519443954717142E-2"/>
    <n v="0.70060632214909913"/>
    <n v="5.974167433302668"/>
    <n v="6.7635942543178844"/>
    <n v="37428.32"/>
    <n v="85.214961714156658"/>
    <s v="2025-03"/>
  </r>
  <r>
    <s v="C0447"/>
    <x v="54"/>
    <x v="4"/>
    <x v="3"/>
    <n v="3505.39"/>
    <n v="2836.55"/>
    <n v="113319"/>
    <n v="2346"/>
    <n v="225"/>
    <n v="6239.36"/>
    <n v="2.0702618272310909E-2"/>
    <n v="1.2091005967604433"/>
    <n v="12.606888888888889"/>
    <n v="2.1996298320142422"/>
    <n v="3402.8099999999995"/>
    <n v="54.537805159503542"/>
    <s v="2025-02"/>
  </r>
  <r>
    <s v="C0448"/>
    <x v="83"/>
    <x v="0"/>
    <x v="2"/>
    <n v="6238.36"/>
    <n v="6615.67"/>
    <n v="97411"/>
    <n v="2282"/>
    <n v="391"/>
    <n v="16349.69"/>
    <n v="2.3426512406196424E-2"/>
    <n v="2.8990666082383876"/>
    <n v="16.919872122762147"/>
    <n v="2.4713581542005572"/>
    <n v="9734.02"/>
    <n v="59.536419344953941"/>
    <s v="2025-03"/>
  </r>
  <r>
    <s v="C0449"/>
    <x v="141"/>
    <x v="1"/>
    <x v="2"/>
    <n v="8198.9500000000007"/>
    <n v="7605.74"/>
    <n v="172776"/>
    <n v="7965"/>
    <n v="101"/>
    <n v="3068.18"/>
    <n v="4.6100152798999858E-2"/>
    <n v="0.95489516635279348"/>
    <n v="75.304356435643555"/>
    <n v="0.40340321914764377"/>
    <n v="-4537.5599999999995"/>
    <n v="-147.89093208351528"/>
    <s v="2025-05"/>
  </r>
  <r>
    <s v="C0450"/>
    <x v="122"/>
    <x v="0"/>
    <x v="1"/>
    <n v="5597.27"/>
    <n v="6136.26"/>
    <n v="117252"/>
    <n v="4476"/>
    <n v="461"/>
    <n v="9774.7099999999991"/>
    <n v="3.8174188926414901E-2"/>
    <n v="1.3709249329758713"/>
    <n v="13.310759219088938"/>
    <n v="1.592942606734395"/>
    <n v="3638.4499999999989"/>
    <n v="37.22309920192005"/>
    <s v="2025-04"/>
  </r>
  <r>
    <s v="C0451"/>
    <x v="59"/>
    <x v="2"/>
    <x v="1"/>
    <n v="9069.2199999999993"/>
    <n v="8829.82"/>
    <n v="149827"/>
    <n v="5041"/>
    <n v="104"/>
    <n v="3448.48"/>
    <n v="3.364547111001355E-2"/>
    <n v="1.7516008728426899"/>
    <n v="84.902115384615385"/>
    <n v="0.39054929772067837"/>
    <n v="-5381.34"/>
    <n v="-156.04962186238575"/>
    <s v="2025-01"/>
  </r>
  <r>
    <s v="C0452"/>
    <x v="165"/>
    <x v="4"/>
    <x v="2"/>
    <n v="8076.8"/>
    <n v="7640.66"/>
    <n v="148415"/>
    <n v="5679"/>
    <n v="1058"/>
    <n v="48882.45"/>
    <n v="3.8264326382104231E-2"/>
    <n v="1.3454234900510653"/>
    <n v="7.22179584120983"/>
    <n v="6.397673761167229"/>
    <n v="41241.789999999994"/>
    <n v="84.369318640943732"/>
    <s v="2025-01"/>
  </r>
  <r>
    <s v="C0453"/>
    <x v="166"/>
    <x v="2"/>
    <x v="2"/>
    <n v="9304.91"/>
    <n v="8621.15"/>
    <n v="96330"/>
    <n v="1282"/>
    <n v="150"/>
    <n v="4245.7299999999996"/>
    <n v="1.3308418976435171E-2"/>
    <n v="6.7247659906396251"/>
    <n v="57.474333333333334"/>
    <n v="0.49247838165441965"/>
    <n v="-4375.42"/>
    <n v="-103.05459838473008"/>
    <s v="2025-01"/>
  </r>
  <r>
    <s v="C0454"/>
    <x v="167"/>
    <x v="0"/>
    <x v="1"/>
    <n v="7146.45"/>
    <n v="7673.21"/>
    <n v="96745"/>
    <n v="2886"/>
    <n v="402"/>
    <n v="10580.59"/>
    <n v="2.9830999018037107E-2"/>
    <n v="2.6587699237699236"/>
    <n v="19.087587064676615"/>
    <n v="1.3789000952665182"/>
    <n v="2907.38"/>
    <n v="27.478429841814116"/>
    <s v="2025-04"/>
  </r>
  <r>
    <s v="C0455"/>
    <x v="47"/>
    <x v="4"/>
    <x v="3"/>
    <n v="7360.77"/>
    <n v="7283.25"/>
    <n v="66585"/>
    <n v="3235"/>
    <n v="641"/>
    <n v="26917.759999999998"/>
    <n v="4.8584516032139369E-2"/>
    <n v="2.2513910355486861"/>
    <n v="11.362324492979718"/>
    <n v="3.6958445748807192"/>
    <n v="19634.509999999998"/>
    <n v="72.942585118523979"/>
    <s v="2025-01"/>
  </r>
  <r>
    <s v="C0456"/>
    <x v="161"/>
    <x v="0"/>
    <x v="2"/>
    <n v="3920.97"/>
    <n v="3978.79"/>
    <n v="192117"/>
    <n v="4361"/>
    <n v="98"/>
    <n v="4632.5600000000004"/>
    <n v="2.2699709031475612E-2"/>
    <n v="0.9123572575097455"/>
    <n v="40.599897959183672"/>
    <n v="1.1643137737854976"/>
    <n v="653.77000000000044"/>
    <n v="14.112499352409907"/>
    <s v="2025-05"/>
  </r>
  <r>
    <s v="C0457"/>
    <x v="150"/>
    <x v="3"/>
    <x v="3"/>
    <n v="4257.78"/>
    <n v="3709.65"/>
    <n v="194804"/>
    <n v="8803"/>
    <n v="1231"/>
    <n v="60493.62"/>
    <n v="4.5189010492597687E-2"/>
    <n v="0.42140747472452572"/>
    <n v="3.0135255889520716"/>
    <n v="16.30709635679916"/>
    <n v="56783.97"/>
    <n v="93.867700428574125"/>
    <s v="2025-01"/>
  </r>
  <r>
    <s v="C0458"/>
    <x v="168"/>
    <x v="4"/>
    <x v="1"/>
    <n v="4266.84"/>
    <n v="4507.13"/>
    <n v="91032"/>
    <n v="3308"/>
    <n v="330"/>
    <n v="11473.55"/>
    <n v="3.6338869847965548E-2"/>
    <n v="1.3624939540507861"/>
    <n v="13.657969696969698"/>
    <n v="2.5456443457366436"/>
    <n v="6966.4199999999992"/>
    <n v="60.717214811457652"/>
    <s v="2025-01"/>
  </r>
  <r>
    <s v="C0459"/>
    <x v="105"/>
    <x v="0"/>
    <x v="3"/>
    <n v="4730.62"/>
    <n v="5020.25"/>
    <n v="116506"/>
    <n v="4331"/>
    <n v="122"/>
    <n v="4069.82"/>
    <n v="3.7174051121830635E-2"/>
    <n v="1.1591433848995614"/>
    <n v="41.149590163934427"/>
    <n v="0.81068074299088699"/>
    <n v="-950.42999999999984"/>
    <n v="-23.353121268262473"/>
    <s v="2025-03"/>
  </r>
  <r>
    <s v="C0460"/>
    <x v="68"/>
    <x v="4"/>
    <x v="1"/>
    <n v="6603.72"/>
    <n v="5994.66"/>
    <n v="55887"/>
    <n v="1060"/>
    <n v="202"/>
    <n v="7633.28"/>
    <n v="1.896684380983055E-2"/>
    <n v="5.6553396226415096"/>
    <n v="29.676534653465346"/>
    <n v="1.2733466118178511"/>
    <n v="1638.62"/>
    <n v="21.466787540873646"/>
    <s v="2024-12"/>
  </r>
  <r>
    <s v="C0461"/>
    <x v="146"/>
    <x v="0"/>
    <x v="1"/>
    <n v="4144.67"/>
    <n v="3802.01"/>
    <n v="111392"/>
    <n v="4309"/>
    <n v="82"/>
    <n v="4024.75"/>
    <n v="3.8683208848032176E-2"/>
    <n v="0.88234161058250182"/>
    <n v="46.365975609756099"/>
    <n v="1.0585848011972614"/>
    <n v="222.73999999999978"/>
    <n v="5.5342567861357796"/>
    <s v="2024-12"/>
  </r>
  <r>
    <s v="C0462"/>
    <x v="120"/>
    <x v="4"/>
    <x v="1"/>
    <n v="4806.93"/>
    <n v="4792.6099999999997"/>
    <n v="127536"/>
    <n v="1590"/>
    <n v="273"/>
    <n v="8123.31"/>
    <n v="1.2467068121942039E-2"/>
    <n v="3.0142201257861632"/>
    <n v="17.555347985347986"/>
    <n v="1.6949657910825211"/>
    <n v="3330.7000000000007"/>
    <n v="41.001759135130882"/>
    <s v="2025-04"/>
  </r>
  <r>
    <s v="C0463"/>
    <x v="132"/>
    <x v="3"/>
    <x v="1"/>
    <n v="8414.31"/>
    <n v="7061.81"/>
    <n v="72374"/>
    <n v="1961"/>
    <n v="102"/>
    <n v="5007.6499999999996"/>
    <n v="2.709536573907757E-2"/>
    <n v="3.6011269760326368"/>
    <n v="69.23343137254902"/>
    <n v="0.70911706772059846"/>
    <n v="-2054.1600000000008"/>
    <n v="-41.020438728745042"/>
    <s v="2025-03"/>
  </r>
  <r>
    <s v="C0464"/>
    <x v="158"/>
    <x v="2"/>
    <x v="2"/>
    <n v="6176.53"/>
    <n v="5378.62"/>
    <n v="194426"/>
    <n v="2729"/>
    <n v="147"/>
    <n v="3264.12"/>
    <n v="1.4036188575602029E-2"/>
    <n v="1.9709124221326493"/>
    <n v="36.589251700680272"/>
    <n v="0.60686942003710986"/>
    <n v="-2114.5"/>
    <n v="-64.780093869097954"/>
    <s v="2025-03"/>
  </r>
  <r>
    <s v="C0465"/>
    <x v="169"/>
    <x v="3"/>
    <x v="1"/>
    <n v="4188.3100000000004"/>
    <n v="4003.74"/>
    <n v="63381"/>
    <n v="1826"/>
    <n v="231"/>
    <n v="6955.43"/>
    <n v="2.8809895710070841E-2"/>
    <n v="2.1926286966046002"/>
    <n v="17.33220779220779"/>
    <n v="1.7372331869701831"/>
    <n v="2951.6900000000005"/>
    <n v="42.437203738661744"/>
    <s v="2025-04"/>
  </r>
  <r>
    <s v="C0466"/>
    <x v="83"/>
    <x v="4"/>
    <x v="1"/>
    <n v="8802.18"/>
    <n v="8179.57"/>
    <n v="109943"/>
    <n v="4843"/>
    <n v="579"/>
    <n v="15900.17"/>
    <n v="4.4050098687501704E-2"/>
    <n v="1.6889469337187692"/>
    <n v="14.127063903281519"/>
    <n v="1.9438882484042561"/>
    <n v="7720.6"/>
    <n v="48.556713544572169"/>
    <s v="2025-03"/>
  </r>
  <r>
    <s v="C0467"/>
    <x v="27"/>
    <x v="3"/>
    <x v="3"/>
    <n v="7320.01"/>
    <n v="7408.09"/>
    <n v="142900"/>
    <n v="3707"/>
    <n v="151"/>
    <n v="3776.7"/>
    <n v="2.5941217634709586E-2"/>
    <n v="1.99840571891017"/>
    <n v="49.060198675496693"/>
    <n v="0.50980752123691797"/>
    <n v="-3631.3900000000003"/>
    <n v="-96.152461143326192"/>
    <s v="2025-04"/>
  </r>
  <r>
    <s v="C0468"/>
    <x v="170"/>
    <x v="3"/>
    <x v="2"/>
    <n v="4173.33"/>
    <n v="3384.58"/>
    <n v="197974"/>
    <n v="4601"/>
    <n v="675"/>
    <n v="28412.14"/>
    <n v="2.3240425510420559E-2"/>
    <n v="0.73561834383829605"/>
    <n v="5.0141925925925923"/>
    <n v="8.3945836706474655"/>
    <n v="25027.559999999998"/>
    <n v="88.087556938688877"/>
    <s v="2025-01"/>
  </r>
  <r>
    <s v="C0469"/>
    <x v="164"/>
    <x v="0"/>
    <x v="1"/>
    <n v="7646.63"/>
    <n v="7206.1"/>
    <n v="102196"/>
    <n v="4290"/>
    <n v="391"/>
    <n v="17722.12"/>
    <n v="4.1978159614857721E-2"/>
    <n v="1.6797435897435897"/>
    <n v="18.429923273657291"/>
    <n v="2.4593219633366172"/>
    <n v="10516.019999999999"/>
    <n v="59.338386152446766"/>
    <s v="2025-06"/>
  </r>
  <r>
    <s v="C0470"/>
    <x v="150"/>
    <x v="0"/>
    <x v="0"/>
    <n v="8639.69"/>
    <n v="8428.94"/>
    <n v="72102"/>
    <n v="2351"/>
    <n v="159"/>
    <n v="7321.65"/>
    <n v="3.2606585115530773E-2"/>
    <n v="3.5852573373032754"/>
    <n v="53.012201257861641"/>
    <n v="0.86863235472075961"/>
    <n v="-1107.2900000000009"/>
    <n v="-15.123503581842904"/>
    <s v="2025-01"/>
  </r>
  <r>
    <s v="C0471"/>
    <x v="44"/>
    <x v="0"/>
    <x v="2"/>
    <n v="4440.8900000000003"/>
    <n v="3701.82"/>
    <n v="138622"/>
    <n v="4757"/>
    <n v="629"/>
    <n v="17670.18"/>
    <n v="3.4316342283331649E-2"/>
    <n v="0.77818372924111834"/>
    <n v="5.8852464228934815"/>
    <n v="4.7733763392061199"/>
    <n v="13968.36"/>
    <n v="79.050468076725878"/>
    <s v="2025-05"/>
  </r>
  <r>
    <s v="C0472"/>
    <x v="57"/>
    <x v="4"/>
    <x v="1"/>
    <n v="3399.61"/>
    <n v="3261.42"/>
    <n v="75127"/>
    <n v="3158"/>
    <n v="620"/>
    <n v="29820.87"/>
    <n v="4.2035486576064533E-2"/>
    <n v="1.0327485750474985"/>
    <n v="5.2603548387096772"/>
    <n v="9.1435233732545935"/>
    <n v="26559.449999999997"/>
    <n v="89.063296946064952"/>
    <s v="2024-12"/>
  </r>
  <r>
    <s v="C0473"/>
    <x v="1"/>
    <x v="3"/>
    <x v="2"/>
    <n v="3275.4"/>
    <n v="2740.31"/>
    <n v="65706"/>
    <n v="3012"/>
    <n v="475"/>
    <n v="15943.84"/>
    <n v="4.5840562505707241E-2"/>
    <n v="0.90979747675962819"/>
    <n v="5.7690736842105261"/>
    <n v="5.8182614375745816"/>
    <n v="13203.53"/>
    <n v="82.812735200553945"/>
    <s v="2025-01"/>
  </r>
  <r>
    <s v="C0474"/>
    <x v="171"/>
    <x v="4"/>
    <x v="1"/>
    <n v="9537.1299999999992"/>
    <n v="8534.27"/>
    <n v="59862"/>
    <n v="2333"/>
    <n v="272"/>
    <n v="9579.0400000000009"/>
    <n v="3.8972971167017471E-2"/>
    <n v="3.6580668666952425"/>
    <n v="31.375992647058826"/>
    <n v="1.1224205468071669"/>
    <n v="1044.7700000000004"/>
    <n v="10.906834087758275"/>
    <s v="2025-05"/>
  </r>
  <r>
    <s v="C0475"/>
    <x v="125"/>
    <x v="3"/>
    <x v="2"/>
    <n v="3291.01"/>
    <n v="2779.27"/>
    <n v="74195"/>
    <n v="2526"/>
    <n v="392"/>
    <n v="19442.77"/>
    <n v="3.4045420850461625E-2"/>
    <n v="1.1002652414885195"/>
    <n v="7.0899744897959183"/>
    <n v="6.9956391426525668"/>
    <n v="16663.5"/>
    <n v="85.705380457619967"/>
    <s v="2025-01"/>
  </r>
  <r>
    <s v="C0476"/>
    <x v="47"/>
    <x v="4"/>
    <x v="2"/>
    <n v="9755.83"/>
    <n v="7819.12"/>
    <n v="175747"/>
    <n v="7548"/>
    <n v="1026"/>
    <n v="49816.77"/>
    <n v="4.2948101532316339E-2"/>
    <n v="1.0359194488606254"/>
    <n v="7.6209746588693958"/>
    <n v="6.3711479041119716"/>
    <n v="41997.649999999994"/>
    <n v="84.304241322751352"/>
    <s v="2025-01"/>
  </r>
  <r>
    <s v="C0477"/>
    <x v="48"/>
    <x v="1"/>
    <x v="3"/>
    <n v="7473.84"/>
    <n v="7925.08"/>
    <n v="150368"/>
    <n v="2680"/>
    <n v="75"/>
    <n v="2523.16"/>
    <n v="1.7822941051287507E-2"/>
    <n v="2.9571194029850747"/>
    <n v="105.66773333333333"/>
    <n v="0.31837659682930641"/>
    <n v="-5401.92"/>
    <n v="-214.09343838678484"/>
    <s v="2025-01"/>
  </r>
  <r>
    <s v="C0478"/>
    <x v="28"/>
    <x v="3"/>
    <x v="3"/>
    <n v="6609.17"/>
    <n v="6256.6"/>
    <n v="199789"/>
    <n v="2837"/>
    <n v="387"/>
    <n v="15482.29"/>
    <n v="1.4199980979933829E-2"/>
    <n v="2.2053577722946778"/>
    <n v="16.166925064599486"/>
    <n v="2.4745532717450374"/>
    <n v="9225.69"/>
    <n v="59.588665501033766"/>
    <s v="2025-05"/>
  </r>
  <r>
    <s v="C0479"/>
    <x v="103"/>
    <x v="4"/>
    <x v="1"/>
    <n v="3977.56"/>
    <n v="3217.81"/>
    <n v="183098"/>
    <n v="3716"/>
    <n v="153"/>
    <n v="4473.3999999999996"/>
    <n v="2.0295142491998819E-2"/>
    <n v="0.86593379978471474"/>
    <n v="21.031437908496731"/>
    <n v="1.3902001671944582"/>
    <n v="1255.5899999999997"/>
    <n v="28.067912549738448"/>
    <s v="2025-05"/>
  </r>
  <r>
    <s v="C0480"/>
    <x v="137"/>
    <x v="0"/>
    <x v="3"/>
    <n v="7932.77"/>
    <n v="6826.59"/>
    <n v="170452"/>
    <n v="8283"/>
    <n v="370"/>
    <n v="14875.1"/>
    <n v="4.8594325675263415E-2"/>
    <n v="0.82416877942774358"/>
    <n v="18.450243243243243"/>
    <n v="2.1789941976887435"/>
    <n v="8048.51"/>
    <n v="54.107266505771392"/>
    <s v="2025-04"/>
  </r>
  <r>
    <s v="C0481"/>
    <x v="54"/>
    <x v="1"/>
    <x v="3"/>
    <n v="9789.3799999999992"/>
    <n v="8107.27"/>
    <n v="118097"/>
    <n v="1117"/>
    <n v="118"/>
    <n v="4741.01"/>
    <n v="9.4583266298043141E-3"/>
    <n v="7.2580752014324084"/>
    <n v="68.705677966101703"/>
    <n v="0.58478501394427473"/>
    <n v="-3366.26"/>
    <n v="-71.003014125682085"/>
    <s v="2025-02"/>
  </r>
  <r>
    <s v="C0482"/>
    <x v="117"/>
    <x v="0"/>
    <x v="1"/>
    <n v="6106.25"/>
    <n v="6475.33"/>
    <n v="115700"/>
    <n v="2582"/>
    <n v="147"/>
    <n v="3721.23"/>
    <n v="2.2316335350043216E-2"/>
    <n v="2.5078737412858247"/>
    <n v="44.049863945578231"/>
    <n v="0.57467804729643124"/>
    <n v="-2754.1"/>
    <n v="-74.010475031105301"/>
    <s v="2025-05"/>
  </r>
  <r>
    <s v="C0483"/>
    <x v="54"/>
    <x v="2"/>
    <x v="2"/>
    <n v="7848.38"/>
    <n v="8252.06"/>
    <n v="55522"/>
    <n v="2245"/>
    <n v="185"/>
    <n v="8942.61"/>
    <n v="4.0434422391124242E-2"/>
    <n v="3.675750556792873"/>
    <n v="44.605729729729724"/>
    <n v="1.0836821351274712"/>
    <n v="690.55000000000109"/>
    <n v="7.722018515847175"/>
    <s v="2025-02"/>
  </r>
  <r>
    <s v="C0484"/>
    <x v="80"/>
    <x v="1"/>
    <x v="1"/>
    <n v="7782.74"/>
    <n v="7387.01"/>
    <n v="150531"/>
    <n v="3586"/>
    <n v="622"/>
    <n v="23969.03"/>
    <n v="2.3822335598647455E-2"/>
    <n v="2.059958170663692"/>
    <n v="11.876221864951768"/>
    <n v="3.24475396676057"/>
    <n v="16582.019999999997"/>
    <n v="69.181022344250053"/>
    <s v="2025-04"/>
  </r>
  <r>
    <s v="C0485"/>
    <x v="77"/>
    <x v="3"/>
    <x v="1"/>
    <n v="9082.33"/>
    <n v="8820.6"/>
    <n v="103488"/>
    <n v="2459"/>
    <n v="416"/>
    <n v="8699.23"/>
    <n v="2.3761209029066171E-2"/>
    <n v="3.5870679137860919"/>
    <n v="21.203365384615385"/>
    <n v="0.98624016506813583"/>
    <n v="-121.3700000000008"/>
    <n v="-1.395180952796981"/>
    <s v="2025-04"/>
  </r>
  <r>
    <s v="C0486"/>
    <x v="1"/>
    <x v="4"/>
    <x v="2"/>
    <n v="9516.64"/>
    <n v="9581.91"/>
    <n v="84687"/>
    <n v="2681"/>
    <n v="448"/>
    <n v="18052.34"/>
    <n v="3.1657751484879613E-2"/>
    <n v="3.574005967922417"/>
    <n v="21.388191964285713"/>
    <n v="1.8840022500733153"/>
    <n v="8470.43"/>
    <n v="46.921507128715724"/>
    <s v="2025-01"/>
  </r>
  <r>
    <s v="C0487"/>
    <x v="140"/>
    <x v="4"/>
    <x v="2"/>
    <n v="4509.7299999999996"/>
    <n v="4499.2"/>
    <n v="147771"/>
    <n v="5682"/>
    <n v="699"/>
    <n v="22239.34"/>
    <n v="3.8451387620033702E-2"/>
    <n v="0.79183386131643785"/>
    <n v="6.4366237482117308"/>
    <n v="4.9429543029871983"/>
    <n v="17740.14"/>
    <n v="79.769183797720615"/>
    <s v="2025-02"/>
  </r>
  <r>
    <s v="C0488"/>
    <x v="108"/>
    <x v="0"/>
    <x v="3"/>
    <n v="7558.63"/>
    <n v="6288.61"/>
    <n v="112643"/>
    <n v="4673"/>
    <n v="506"/>
    <n v="20106.09"/>
    <n v="4.1485045675274987E-2"/>
    <n v="1.3457329338754547"/>
    <n v="12.428083003952569"/>
    <n v="3.197223233751179"/>
    <n v="13817.48"/>
    <n v="68.722859591297961"/>
    <s v="2025-02"/>
  </r>
  <r>
    <s v="C0489"/>
    <x v="87"/>
    <x v="2"/>
    <x v="2"/>
    <n v="9995.9"/>
    <n v="8141.3"/>
    <n v="99483"/>
    <n v="4587"/>
    <n v="250"/>
    <n v="12328.81"/>
    <n v="4.6108380326286905E-2"/>
    <n v="1.7748637453673426"/>
    <n v="32.565199999999997"/>
    <n v="1.5143539729527224"/>
    <n v="4187.5099999999993"/>
    <n v="33.965240765329334"/>
    <s v="2025-01"/>
  </r>
  <r>
    <s v="C0490"/>
    <x v="8"/>
    <x v="3"/>
    <x v="1"/>
    <n v="5848.36"/>
    <n v="6206.43"/>
    <n v="166799"/>
    <n v="6009"/>
    <n v="332"/>
    <n v="14432.56"/>
    <n v="3.602539583570645E-2"/>
    <n v="1.032855716425362"/>
    <n v="18.694066265060243"/>
    <n v="2.3254205718907648"/>
    <n v="8226.1299999999992"/>
    <n v="56.997026168607647"/>
    <s v="2025-02"/>
  </r>
  <r>
    <s v="C0491"/>
    <x v="172"/>
    <x v="3"/>
    <x v="0"/>
    <n v="6969.11"/>
    <n v="7119.19"/>
    <n v="64146"/>
    <n v="2927"/>
    <n v="300"/>
    <n v="13906.64"/>
    <n v="4.563028092164749E-2"/>
    <n v="2.4322480355312606"/>
    <n v="23.730633333333333"/>
    <n v="1.9534020021940699"/>
    <n v="6787.45"/>
    <n v="48.807260416606745"/>
    <s v="2025-03"/>
  </r>
  <r>
    <s v="C0492"/>
    <x v="172"/>
    <x v="4"/>
    <x v="0"/>
    <n v="5828.98"/>
    <n v="5235.0600000000004"/>
    <n v="165901"/>
    <n v="3604"/>
    <n v="431"/>
    <n v="17251.98"/>
    <n v="2.1723799133218005E-2"/>
    <n v="1.4525693673695894"/>
    <n v="12.14631090487239"/>
    <n v="3.2954693929009404"/>
    <n v="12016.919999999998"/>
    <n v="69.655309129734661"/>
    <s v="2025-03"/>
  </r>
  <r>
    <s v="C0493"/>
    <x v="120"/>
    <x v="2"/>
    <x v="0"/>
    <n v="8654.92"/>
    <n v="8903.19"/>
    <n v="52359"/>
    <n v="1523"/>
    <n v="135"/>
    <n v="5931.15"/>
    <n v="2.9087644913004449E-2"/>
    <n v="5.8458240315167433"/>
    <n v="65.949555555555563"/>
    <n v="0.66618257051685958"/>
    <n v="-2972.0400000000009"/>
    <n v="-50.109000783996372"/>
    <s v="2025-04"/>
  </r>
  <r>
    <s v="C0494"/>
    <x v="135"/>
    <x v="1"/>
    <x v="0"/>
    <n v="6049.08"/>
    <n v="6323.41"/>
    <n v="158601"/>
    <n v="7199"/>
    <n v="503"/>
    <n v="11873.95"/>
    <n v="4.5390634359178061E-2"/>
    <n v="0.87837338519238783"/>
    <n v="12.571391650099404"/>
    <n v="1.8777763896378696"/>
    <n v="5550.5400000000009"/>
    <n v="46.745522762012648"/>
    <s v="2025-05"/>
  </r>
  <r>
    <s v="C0495"/>
    <x v="60"/>
    <x v="3"/>
    <x v="2"/>
    <n v="6811.42"/>
    <n v="5460.9"/>
    <n v="73610"/>
    <n v="2346"/>
    <n v="170"/>
    <n v="5055.3900000000003"/>
    <n v="3.1870669745958431E-2"/>
    <n v="2.3277493606138107"/>
    <n v="32.122941176470583"/>
    <n v="0.92574300939405607"/>
    <n v="-405.50999999999931"/>
    <n v="-8.0213395999121584"/>
    <s v="2025-02"/>
  </r>
  <r>
    <s v="C0496"/>
    <x v="46"/>
    <x v="3"/>
    <x v="3"/>
    <n v="5565.23"/>
    <n v="5113.62"/>
    <n v="67169"/>
    <n v="1577"/>
    <n v="305"/>
    <n v="12463.52"/>
    <n v="2.3478092572466466E-2"/>
    <n v="3.2426252377932783"/>
    <n v="16.765967213114752"/>
    <n v="2.437318377196585"/>
    <n v="7349.9000000000005"/>
    <n v="58.971301847311196"/>
    <s v="2025-01"/>
  </r>
  <r>
    <s v="C0497"/>
    <x v="160"/>
    <x v="4"/>
    <x v="2"/>
    <n v="5719.91"/>
    <n v="5345.87"/>
    <n v="152621"/>
    <n v="2741"/>
    <n v="345"/>
    <n v="9358.58"/>
    <n v="1.7959520642637644E-2"/>
    <n v="1.9503356439255746"/>
    <n v="15.495275362318841"/>
    <n v="1.750618701913814"/>
    <n v="4012.71"/>
    <n v="42.8773382286629"/>
    <s v="2025-02"/>
  </r>
  <r>
    <s v="C0498"/>
    <x v="64"/>
    <x v="1"/>
    <x v="0"/>
    <n v="5612.76"/>
    <n v="4872.8900000000003"/>
    <n v="107940"/>
    <n v="2915"/>
    <n v="150"/>
    <n v="3329.38"/>
    <n v="2.7005743931813972E-2"/>
    <n v="1.6716603773584906"/>
    <n v="32.485933333333335"/>
    <n v="0.68324546624282512"/>
    <n v="-1543.5100000000002"/>
    <n v="-46.360283295989049"/>
    <s v="2024-12"/>
  </r>
  <r>
    <s v="C0499"/>
    <x v="71"/>
    <x v="2"/>
    <x v="1"/>
    <n v="7224.14"/>
    <n v="7227.49"/>
    <n v="68836"/>
    <n v="3169"/>
    <n v="620"/>
    <n v="23922.52"/>
    <n v="4.6036957406008487E-2"/>
    <n v="2.2806847585989272"/>
    <n v="11.657241935483871"/>
    <n v="3.3099347076232553"/>
    <n v="16695.03"/>
    <n v="69.787923680281168"/>
    <s v="2025-05"/>
  </r>
  <r>
    <s v="C0500"/>
    <x v="98"/>
    <x v="3"/>
    <x v="0"/>
    <n v="6244.46"/>
    <n v="5707.04"/>
    <n v="140338"/>
    <n v="5296"/>
    <n v="294"/>
    <n v="13494.6"/>
    <n v="3.773746241217632E-2"/>
    <n v="1.0776132930513596"/>
    <n v="19.411700680272109"/>
    <n v="2.3645532535254703"/>
    <n v="7787.56"/>
    <n v="57.708713114875579"/>
    <s v="2025-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82DE2-1B35-4120-B28E-1F6F4FBB6DF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F15:G21" firstHeaderRow="1" firstDataRow="1" firstDataCol="1"/>
  <pivotFields count="20">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pend ($)" fld="5" baseField="0" baseItem="0"/>
  </dataFields>
  <chartFormats count="1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203E4-908F-4C42-8E5D-960B6C0CE44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F7:G12" firstHeaderRow="1" firstDataRow="1" firstDataCol="1"/>
  <pivotFields count="20">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x="0"/>
        <item x="4"/>
        <item x="3"/>
        <item x="2"/>
        <item t="default"/>
      </items>
    </pivotField>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Conversion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0F3625-FE20-4FFF-919E-E1B02004322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5:C21" firstHeaderRow="0" firstDataRow="1" firstDataCol="1"/>
  <pivotFields count="20">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Revenue ($)" fld="9" baseField="0" baseItem="0"/>
    <dataField name="Sum of Spend ($)"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AA2278-E19E-4F2F-9ACE-B2B5D788148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7:C10" firstHeaderRow="0" firstDataRow="1" firstDataCol="1"/>
  <pivotFields count="20">
    <pivotField showAll="0"/>
    <pivotField axis="axisRow"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9"/>
    <field x="18"/>
    <field x="17"/>
    <field x="1"/>
  </rowFields>
  <rowItems count="3">
    <i>
      <x v="1"/>
    </i>
    <i>
      <x v="2"/>
    </i>
    <i t="grand">
      <x/>
    </i>
  </rowItems>
  <colFields count="1">
    <field x="-2"/>
  </colFields>
  <colItems count="2">
    <i>
      <x/>
    </i>
    <i i="1">
      <x v="1"/>
    </i>
  </colItems>
  <dataFields count="2">
    <dataField name="Sum of Spend ($)" fld="5" baseField="0" baseItem="0"/>
    <dataField name="Sum of Revenue ($)" fld="9" baseField="0" baseItem="0"/>
  </dataFields>
  <chartFormats count="2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9" count="1" selected="0">
            <x v="1"/>
          </reference>
        </references>
      </pivotArea>
    </chartFormat>
    <chartFormat chart="32" format="4">
      <pivotArea type="data" outline="0" fieldPosition="0">
        <references count="2">
          <reference field="4294967294" count="1" selected="0">
            <x v="0"/>
          </reference>
          <reference field="19" count="1" selected="0">
            <x v="2"/>
          </reference>
        </references>
      </pivotArea>
    </chartFormat>
    <chartFormat chart="32" format="5" series="1">
      <pivotArea type="data" outline="0" fieldPosition="0">
        <references count="1">
          <reference field="4294967294" count="1" selected="0">
            <x v="1"/>
          </reference>
        </references>
      </pivotArea>
    </chartFormat>
    <chartFormat chart="32" format="6">
      <pivotArea type="data" outline="0" fieldPosition="0">
        <references count="2">
          <reference field="4294967294" count="1" selected="0">
            <x v="1"/>
          </reference>
          <reference field="19" count="1" selected="0">
            <x v="1"/>
          </reference>
        </references>
      </pivotArea>
    </chartFormat>
    <chartFormat chart="32" format="7">
      <pivotArea type="data" outline="0" fieldPosition="0">
        <references count="2">
          <reference field="4294967294" count="1" selected="0">
            <x v="1"/>
          </reference>
          <reference field="19" count="1" selected="0">
            <x v="2"/>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19" count="1" selected="0">
            <x v="1"/>
          </reference>
        </references>
      </pivotArea>
    </chartFormat>
    <chartFormat chart="33" format="10">
      <pivotArea type="data" outline="0" fieldPosition="0">
        <references count="2">
          <reference field="4294967294" count="1" selected="0">
            <x v="0"/>
          </reference>
          <reference field="19" count="1" selected="0">
            <x v="2"/>
          </reference>
        </references>
      </pivotArea>
    </chartFormat>
    <chartFormat chart="33" format="11" series="1">
      <pivotArea type="data" outline="0" fieldPosition="0">
        <references count="1">
          <reference field="4294967294" count="1" selected="0">
            <x v="1"/>
          </reference>
        </references>
      </pivotArea>
    </chartFormat>
    <chartFormat chart="33" format="12">
      <pivotArea type="data" outline="0" fieldPosition="0">
        <references count="2">
          <reference field="4294967294" count="1" selected="0">
            <x v="1"/>
          </reference>
          <reference field="19" count="1" selected="0">
            <x v="1"/>
          </reference>
        </references>
      </pivotArea>
    </chartFormat>
    <chartFormat chart="33" format="13">
      <pivotArea type="data" outline="0" fieldPosition="0">
        <references count="2">
          <reference field="4294967294" count="1" selected="0">
            <x v="1"/>
          </reference>
          <reference field="19" count="1" selected="0">
            <x v="2"/>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19" count="1" selected="0">
            <x v="1"/>
          </reference>
        </references>
      </pivotArea>
    </chartFormat>
    <chartFormat chart="34" format="10">
      <pivotArea type="data" outline="0" fieldPosition="0">
        <references count="2">
          <reference field="4294967294" count="1" selected="0">
            <x v="0"/>
          </reference>
          <reference field="19" count="1" selected="0">
            <x v="2"/>
          </reference>
        </references>
      </pivotArea>
    </chartFormat>
    <chartFormat chart="34" format="11" series="1">
      <pivotArea type="data" outline="0" fieldPosition="0">
        <references count="1">
          <reference field="4294967294" count="1" selected="0">
            <x v="1"/>
          </reference>
        </references>
      </pivotArea>
    </chartFormat>
    <chartFormat chart="34" format="12">
      <pivotArea type="data" outline="0" fieldPosition="0">
        <references count="2">
          <reference field="4294967294" count="1" selected="0">
            <x v="1"/>
          </reference>
          <reference field="19" count="1" selected="0">
            <x v="1"/>
          </reference>
        </references>
      </pivotArea>
    </chartFormat>
    <chartFormat chart="34" format="13">
      <pivotArea type="data" outline="0" fieldPosition="0">
        <references count="2">
          <reference field="4294967294" count="1" selected="0">
            <x v="1"/>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298A2D94-C0A9-4FF3-B354-4B01243EB124}" sourceName="Channel">
  <pivotTables>
    <pivotTable tabId="3" name="PivotTable1"/>
    <pivotTable tabId="3" name="PivotTable4"/>
    <pivotTable tabId="3" name="PivotTable5"/>
    <pivotTable tabId="3" name="PivotTable6"/>
  </pivotTables>
  <data>
    <tabular pivotCacheId="92296438">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2E0B7D-A627-4537-AF72-287B5A85320E}" sourceName="Region">
  <pivotTables>
    <pivotTable tabId="3" name="PivotTable1"/>
    <pivotTable tabId="3" name="PivotTable4"/>
    <pivotTable tabId="3" name="PivotTable5"/>
    <pivotTable tabId="3" name="PivotTable6"/>
  </pivotTables>
  <data>
    <tabular pivotCacheId="9229643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C02DA3E0-3BDD-489A-8B32-41BD12E4162D}" cache="Slicer_Channel1" caption="Channel" style="SlicerStyleOther1" rowHeight="234950"/>
  <slicer name="Region" xr10:uid="{87FEB7A6-57E7-448E-A121-C39BB7799EDB}" cache="Slicer_Region" caption="Region"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8656782-3698-45F4-AC9A-CA0152C78961}" sourceName="Date">
  <pivotTables>
    <pivotTable tabId="3" name="PivotTable1"/>
    <pivotTable tabId="3" name="PivotTable4"/>
    <pivotTable tabId="3" name="PivotTable5"/>
    <pivotTable tabId="3" name="PivotTable6"/>
  </pivotTables>
  <state minimalRefreshVersion="6" lastRefreshVersion="6" pivotCacheId="9229643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6E41E1-593D-44D8-8D87-BE89CA8F4504}" cache="Nativ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8006-3A3D-4676-996C-9948857B5225}">
  <dimension ref="A1:G21"/>
  <sheetViews>
    <sheetView zoomScale="91" workbookViewId="0">
      <selection activeCell="F7" sqref="F7"/>
    </sheetView>
  </sheetViews>
  <sheetFormatPr defaultRowHeight="14.4" x14ac:dyDescent="0.3"/>
  <cols>
    <col min="1" max="1" width="13.33203125" bestFit="1" customWidth="1"/>
    <col min="2" max="2" width="18.21875" bestFit="1" customWidth="1"/>
    <col min="3" max="3" width="15.88671875" bestFit="1" customWidth="1"/>
    <col min="5" max="5" width="9.5546875" customWidth="1"/>
    <col min="6" max="6" width="13.33203125" bestFit="1" customWidth="1"/>
    <col min="7" max="7" width="15.88671875" bestFit="1" customWidth="1"/>
    <col min="9" max="9" width="12.5546875" bestFit="1" customWidth="1"/>
    <col min="10" max="10" width="17.88671875" bestFit="1" customWidth="1"/>
  </cols>
  <sheetData>
    <row r="1" spans="1:7" x14ac:dyDescent="0.3">
      <c r="A1" s="1" t="s">
        <v>533</v>
      </c>
      <c r="B1" s="1" t="s">
        <v>534</v>
      </c>
    </row>
    <row r="2" spans="1:7" x14ac:dyDescent="0.3">
      <c r="A2" s="7" t="s">
        <v>6</v>
      </c>
      <c r="B2" s="7">
        <f>SUM(DataSet!G:G)</f>
        <v>62386067</v>
      </c>
    </row>
    <row r="3" spans="1:7" x14ac:dyDescent="0.3">
      <c r="A3" s="8" t="s">
        <v>7</v>
      </c>
      <c r="B3" s="7">
        <f>SUM(DataSet!H:H)</f>
        <v>1814121</v>
      </c>
    </row>
    <row r="4" spans="1:7" x14ac:dyDescent="0.3">
      <c r="A4" s="8" t="s">
        <v>8</v>
      </c>
      <c r="B4" s="7">
        <f>SUM(DataSet!I:I)</f>
        <v>184526</v>
      </c>
    </row>
    <row r="7" spans="1:7" x14ac:dyDescent="0.3">
      <c r="A7" s="5" t="s">
        <v>526</v>
      </c>
      <c r="B7" t="s">
        <v>530</v>
      </c>
      <c r="C7" t="s">
        <v>531</v>
      </c>
      <c r="F7" s="5" t="s">
        <v>526</v>
      </c>
      <c r="G7" t="s">
        <v>532</v>
      </c>
    </row>
    <row r="8" spans="1:7" x14ac:dyDescent="0.3">
      <c r="A8" s="6" t="s">
        <v>528</v>
      </c>
      <c r="B8" s="12">
        <v>387223.67</v>
      </c>
      <c r="C8" s="12">
        <v>669060.35</v>
      </c>
      <c r="F8" s="6" t="s">
        <v>515</v>
      </c>
      <c r="G8" s="12">
        <v>41460</v>
      </c>
    </row>
    <row r="9" spans="1:7" x14ac:dyDescent="0.3">
      <c r="A9" s="6" t="s">
        <v>529</v>
      </c>
      <c r="B9" s="12">
        <v>2745284.5199999991</v>
      </c>
      <c r="C9" s="12">
        <v>5883887.7299999967</v>
      </c>
      <c r="F9" s="6" t="s">
        <v>517</v>
      </c>
      <c r="G9" s="12">
        <v>46771</v>
      </c>
    </row>
    <row r="10" spans="1:7" x14ac:dyDescent="0.3">
      <c r="A10" s="6" t="s">
        <v>527</v>
      </c>
      <c r="B10" s="12">
        <v>3132508.189999999</v>
      </c>
      <c r="C10" s="12">
        <v>6552948.0799999963</v>
      </c>
      <c r="F10" s="6" t="s">
        <v>516</v>
      </c>
      <c r="G10" s="12">
        <v>47588</v>
      </c>
    </row>
    <row r="11" spans="1:7" x14ac:dyDescent="0.3">
      <c r="F11" s="6" t="s">
        <v>518</v>
      </c>
      <c r="G11" s="12">
        <v>48707</v>
      </c>
    </row>
    <row r="12" spans="1:7" x14ac:dyDescent="0.3">
      <c r="F12" s="6" t="s">
        <v>527</v>
      </c>
      <c r="G12" s="12">
        <v>184526</v>
      </c>
    </row>
    <row r="15" spans="1:7" x14ac:dyDescent="0.3">
      <c r="A15" s="5" t="s">
        <v>526</v>
      </c>
      <c r="B15" t="s">
        <v>531</v>
      </c>
      <c r="C15" t="s">
        <v>530</v>
      </c>
      <c r="F15" s="5" t="s">
        <v>526</v>
      </c>
      <c r="G15" t="s">
        <v>530</v>
      </c>
    </row>
    <row r="16" spans="1:7" x14ac:dyDescent="0.3">
      <c r="A16" s="6" t="s">
        <v>511</v>
      </c>
      <c r="B16" s="12">
        <v>1285904.9300000002</v>
      </c>
      <c r="C16" s="12">
        <v>572200.1100000001</v>
      </c>
      <c r="F16" s="6" t="s">
        <v>511</v>
      </c>
      <c r="G16" s="12">
        <v>572200.1100000001</v>
      </c>
    </row>
    <row r="17" spans="1:7" x14ac:dyDescent="0.3">
      <c r="A17" s="6" t="s">
        <v>510</v>
      </c>
      <c r="B17" s="12">
        <v>1371874.6800000004</v>
      </c>
      <c r="C17" s="12">
        <v>637608.49999999988</v>
      </c>
      <c r="F17" s="6" t="s">
        <v>510</v>
      </c>
      <c r="G17" s="12">
        <v>637608.49999999988</v>
      </c>
    </row>
    <row r="18" spans="1:7" x14ac:dyDescent="0.3">
      <c r="A18" s="6" t="s">
        <v>514</v>
      </c>
      <c r="B18" s="12">
        <v>1413738.0000000002</v>
      </c>
      <c r="C18" s="12">
        <v>616798.73000000033</v>
      </c>
      <c r="F18" s="6" t="s">
        <v>514</v>
      </c>
      <c r="G18" s="12">
        <v>616798.73000000033</v>
      </c>
    </row>
    <row r="19" spans="1:7" x14ac:dyDescent="0.3">
      <c r="A19" s="6" t="s">
        <v>513</v>
      </c>
      <c r="B19" s="12">
        <v>1287791.2199999997</v>
      </c>
      <c r="C19" s="12">
        <v>652119.29000000015</v>
      </c>
      <c r="F19" s="6" t="s">
        <v>513</v>
      </c>
      <c r="G19" s="12">
        <v>652119.29000000015</v>
      </c>
    </row>
    <row r="20" spans="1:7" x14ac:dyDescent="0.3">
      <c r="A20" s="6" t="s">
        <v>512</v>
      </c>
      <c r="B20" s="12">
        <v>1193639.2500000002</v>
      </c>
      <c r="C20" s="12">
        <v>653781.55999999959</v>
      </c>
      <c r="F20" s="6" t="s">
        <v>512</v>
      </c>
      <c r="G20" s="12">
        <v>653781.55999999959</v>
      </c>
    </row>
    <row r="21" spans="1:7" x14ac:dyDescent="0.3">
      <c r="A21" s="6" t="s">
        <v>527</v>
      </c>
      <c r="B21" s="12">
        <v>6552948.0800000001</v>
      </c>
      <c r="C21" s="12">
        <v>3132508.19</v>
      </c>
      <c r="F21" s="6" t="s">
        <v>527</v>
      </c>
      <c r="G21" s="12">
        <v>3132508.19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D1" workbookViewId="0">
      <selection sqref="A1:Q501"/>
    </sheetView>
  </sheetViews>
  <sheetFormatPr defaultRowHeight="14.4" x14ac:dyDescent="0.3"/>
  <cols>
    <col min="1" max="1" width="13.21875" customWidth="1"/>
    <col min="2" max="2" width="15" customWidth="1"/>
    <col min="3" max="3" width="15.21875" customWidth="1"/>
    <col min="4" max="4" width="14.33203125" customWidth="1"/>
    <col min="5" max="5" width="12.5546875" customWidth="1"/>
    <col min="6" max="6" width="16.109375" customWidth="1"/>
    <col min="7" max="7" width="13.88671875" customWidth="1"/>
    <col min="8" max="8" width="11.88671875" customWidth="1"/>
    <col min="9" max="9" width="14.33203125" customWidth="1"/>
    <col min="10" max="10" width="12.33203125" customWidth="1"/>
    <col min="11" max="11" width="15.88671875" customWidth="1"/>
    <col min="12" max="12" width="15.77734375" customWidth="1"/>
    <col min="13" max="13" width="14" customWidth="1"/>
    <col min="14" max="14" width="13.33203125" customWidth="1"/>
    <col min="15" max="15" width="15.33203125" customWidth="1"/>
    <col min="16" max="16" width="17.6640625" customWidth="1"/>
    <col min="17" max="17" width="15" customWidth="1"/>
    <col min="18" max="18" width="15.44140625" customWidth="1"/>
  </cols>
  <sheetData>
    <row r="1" spans="1:17" x14ac:dyDescent="0.3">
      <c r="A1" s="1" t="s">
        <v>0</v>
      </c>
      <c r="B1" s="1" t="s">
        <v>1</v>
      </c>
      <c r="C1" s="1" t="s">
        <v>2</v>
      </c>
      <c r="D1" s="1" t="s">
        <v>3</v>
      </c>
      <c r="E1" s="1" t="s">
        <v>4</v>
      </c>
      <c r="F1" s="1" t="s">
        <v>5</v>
      </c>
      <c r="G1" s="1" t="s">
        <v>6</v>
      </c>
      <c r="H1" s="1" t="s">
        <v>7</v>
      </c>
      <c r="I1" s="1" t="s">
        <v>8</v>
      </c>
      <c r="J1" s="1" t="s">
        <v>9</v>
      </c>
      <c r="K1" s="3" t="s">
        <v>519</v>
      </c>
      <c r="L1" s="3" t="s">
        <v>520</v>
      </c>
      <c r="M1" s="3" t="s">
        <v>521</v>
      </c>
      <c r="N1" s="3" t="s">
        <v>522</v>
      </c>
      <c r="O1" s="3" t="s">
        <v>523</v>
      </c>
      <c r="P1" s="3" t="s">
        <v>524</v>
      </c>
      <c r="Q1" s="3" t="s">
        <v>525</v>
      </c>
    </row>
    <row r="2" spans="1:17" x14ac:dyDescent="0.3">
      <c r="A2" t="s">
        <v>10</v>
      </c>
      <c r="B2" s="2">
        <v>45780</v>
      </c>
      <c r="C2" t="s">
        <v>510</v>
      </c>
      <c r="D2" t="s">
        <v>515</v>
      </c>
      <c r="E2">
        <v>5621.78</v>
      </c>
      <c r="F2">
        <v>6100.84</v>
      </c>
      <c r="G2">
        <v>120704</v>
      </c>
      <c r="H2">
        <v>5511</v>
      </c>
      <c r="I2">
        <v>1050</v>
      </c>
      <c r="J2">
        <v>44057.81</v>
      </c>
      <c r="K2">
        <f>H2/G2</f>
        <v>4.5657144750795332E-2</v>
      </c>
      <c r="L2">
        <f>F2/H2</f>
        <v>1.107029577209218</v>
      </c>
      <c r="M2">
        <f>F2/I2</f>
        <v>5.8103238095238092</v>
      </c>
      <c r="N2">
        <f>J2/F2</f>
        <v>7.2215973538070166</v>
      </c>
      <c r="O2">
        <f>J2-F2</f>
        <v>37956.97</v>
      </c>
      <c r="P2">
        <f>(O2/J2)*100</f>
        <v>86.152648077605321</v>
      </c>
      <c r="Q2" s="4" t="str">
        <f>TEXT(B2,"yyyy-mm")</f>
        <v>2025-05</v>
      </c>
    </row>
    <row r="3" spans="1:17" x14ac:dyDescent="0.3">
      <c r="A3" t="s">
        <v>11</v>
      </c>
      <c r="B3" s="2">
        <v>45674</v>
      </c>
      <c r="C3" t="s">
        <v>511</v>
      </c>
      <c r="D3" t="s">
        <v>516</v>
      </c>
      <c r="E3">
        <v>7190.61</v>
      </c>
      <c r="F3">
        <v>6089.05</v>
      </c>
      <c r="G3">
        <v>64473</v>
      </c>
      <c r="H3">
        <v>1120</v>
      </c>
      <c r="I3">
        <v>72</v>
      </c>
      <c r="J3">
        <v>1776.95</v>
      </c>
      <c r="K3">
        <f t="shared" ref="K3:K66" si="0">H3/G3</f>
        <v>1.7371612923239185E-2</v>
      </c>
      <c r="L3">
        <f t="shared" ref="L3:L66" si="1">F3/H3</f>
        <v>5.436651785714286</v>
      </c>
      <c r="M3">
        <f t="shared" ref="M3:M66" si="2">F3/I3</f>
        <v>84.570138888888891</v>
      </c>
      <c r="N3">
        <f t="shared" ref="N3:N66" si="3">J3/F3</f>
        <v>0.2918271323112801</v>
      </c>
      <c r="O3">
        <f t="shared" ref="O3:O66" si="4">J3-F3</f>
        <v>-4312.1000000000004</v>
      </c>
      <c r="P3">
        <f t="shared" ref="P3:P66" si="5">(O3/J3)*100</f>
        <v>-242.66861757505839</v>
      </c>
      <c r="Q3" s="4" t="str">
        <f t="shared" ref="Q3:Q66" si="6">TEXT(B3,"yyyy-mm")</f>
        <v>2025-01</v>
      </c>
    </row>
    <row r="4" spans="1:17" x14ac:dyDescent="0.3">
      <c r="A4" t="s">
        <v>12</v>
      </c>
      <c r="B4" s="2">
        <v>45751</v>
      </c>
      <c r="C4" t="s">
        <v>511</v>
      </c>
      <c r="D4" t="s">
        <v>517</v>
      </c>
      <c r="E4">
        <v>3406.59</v>
      </c>
      <c r="F4">
        <v>3610.48</v>
      </c>
      <c r="G4">
        <v>113908</v>
      </c>
      <c r="H4">
        <v>5345</v>
      </c>
      <c r="I4">
        <v>1004</v>
      </c>
      <c r="J4">
        <v>38185.58</v>
      </c>
      <c r="K4">
        <f t="shared" si="0"/>
        <v>4.6923833268953892E-2</v>
      </c>
      <c r="L4">
        <f t="shared" si="1"/>
        <v>0.67548737137511694</v>
      </c>
      <c r="M4">
        <f t="shared" si="2"/>
        <v>3.5960956175298806</v>
      </c>
      <c r="N4">
        <f t="shared" si="3"/>
        <v>10.57631672243026</v>
      </c>
      <c r="O4">
        <f t="shared" si="4"/>
        <v>34575.1</v>
      </c>
      <c r="P4">
        <f t="shared" si="5"/>
        <v>90.544912503620466</v>
      </c>
      <c r="Q4" s="4" t="str">
        <f t="shared" si="6"/>
        <v>2025-04</v>
      </c>
    </row>
    <row r="5" spans="1:17" x14ac:dyDescent="0.3">
      <c r="A5" t="s">
        <v>13</v>
      </c>
      <c r="B5" s="2">
        <v>45807</v>
      </c>
      <c r="C5" t="s">
        <v>512</v>
      </c>
      <c r="D5" t="s">
        <v>518</v>
      </c>
      <c r="E5">
        <v>7956.51</v>
      </c>
      <c r="F5">
        <v>6414.34</v>
      </c>
      <c r="G5">
        <v>91921</v>
      </c>
      <c r="H5">
        <v>3787</v>
      </c>
      <c r="I5">
        <v>329</v>
      </c>
      <c r="J5">
        <v>16153.01</v>
      </c>
      <c r="K5">
        <f t="shared" si="0"/>
        <v>4.1198420382719945E-2</v>
      </c>
      <c r="L5">
        <f t="shared" si="1"/>
        <v>1.6937787166622658</v>
      </c>
      <c r="M5">
        <f t="shared" si="2"/>
        <v>19.49647416413374</v>
      </c>
      <c r="N5">
        <f t="shared" si="3"/>
        <v>2.5182653242578348</v>
      </c>
      <c r="O5">
        <f t="shared" si="4"/>
        <v>9738.67</v>
      </c>
      <c r="P5">
        <f t="shared" si="5"/>
        <v>60.290125493638648</v>
      </c>
      <c r="Q5" s="4" t="str">
        <f t="shared" si="6"/>
        <v>2025-05</v>
      </c>
    </row>
    <row r="6" spans="1:17" x14ac:dyDescent="0.3">
      <c r="A6" t="s">
        <v>14</v>
      </c>
      <c r="B6" s="2">
        <v>45791</v>
      </c>
      <c r="C6" t="s">
        <v>513</v>
      </c>
      <c r="D6" t="s">
        <v>515</v>
      </c>
      <c r="E6">
        <v>8827.1</v>
      </c>
      <c r="F6">
        <v>7623.98</v>
      </c>
      <c r="G6">
        <v>191026</v>
      </c>
      <c r="H6">
        <v>8786</v>
      </c>
      <c r="I6">
        <v>423</v>
      </c>
      <c r="J6">
        <v>10767.36</v>
      </c>
      <c r="K6">
        <f t="shared" si="0"/>
        <v>4.5993739072168187E-2</v>
      </c>
      <c r="L6">
        <f t="shared" si="1"/>
        <v>0.86774186205326653</v>
      </c>
      <c r="M6">
        <f t="shared" si="2"/>
        <v>18.023593380614656</v>
      </c>
      <c r="N6">
        <f t="shared" si="3"/>
        <v>1.4123017111797251</v>
      </c>
      <c r="O6">
        <f t="shared" si="4"/>
        <v>3143.380000000001</v>
      </c>
      <c r="P6">
        <f t="shared" si="5"/>
        <v>29.193599916785551</v>
      </c>
      <c r="Q6" s="4" t="str">
        <f t="shared" si="6"/>
        <v>2025-05</v>
      </c>
    </row>
    <row r="7" spans="1:17" x14ac:dyDescent="0.3">
      <c r="A7" t="s">
        <v>15</v>
      </c>
      <c r="B7" s="2">
        <v>45764</v>
      </c>
      <c r="C7" t="s">
        <v>514</v>
      </c>
      <c r="D7" t="s">
        <v>516</v>
      </c>
      <c r="E7">
        <v>4283.83</v>
      </c>
      <c r="F7">
        <v>3818.06</v>
      </c>
      <c r="G7">
        <v>127588</v>
      </c>
      <c r="H7">
        <v>5087</v>
      </c>
      <c r="I7">
        <v>842</v>
      </c>
      <c r="J7">
        <v>30095.35</v>
      </c>
      <c r="K7">
        <f t="shared" si="0"/>
        <v>3.9870520738627457E-2</v>
      </c>
      <c r="L7">
        <f t="shared" si="1"/>
        <v>0.75055238844112437</v>
      </c>
      <c r="M7">
        <f t="shared" si="2"/>
        <v>4.5345130641330167</v>
      </c>
      <c r="N7">
        <f t="shared" si="3"/>
        <v>7.8823669612316198</v>
      </c>
      <c r="O7">
        <f t="shared" si="4"/>
        <v>26277.289999999997</v>
      </c>
      <c r="P7">
        <f t="shared" si="5"/>
        <v>87.31345540091742</v>
      </c>
      <c r="Q7" s="4" t="str">
        <f t="shared" si="6"/>
        <v>2025-04</v>
      </c>
    </row>
    <row r="8" spans="1:17" x14ac:dyDescent="0.3">
      <c r="A8" t="s">
        <v>16</v>
      </c>
      <c r="B8" s="2">
        <v>45746</v>
      </c>
      <c r="C8" t="s">
        <v>512</v>
      </c>
      <c r="D8" t="s">
        <v>517</v>
      </c>
      <c r="E8">
        <v>6023.62</v>
      </c>
      <c r="F8">
        <v>5345.17</v>
      </c>
      <c r="G8">
        <v>72336</v>
      </c>
      <c r="H8">
        <v>1340</v>
      </c>
      <c r="I8">
        <v>236</v>
      </c>
      <c r="J8">
        <v>9051.92</v>
      </c>
      <c r="K8">
        <f t="shared" si="0"/>
        <v>1.8524662685246628E-2</v>
      </c>
      <c r="L8">
        <f t="shared" si="1"/>
        <v>3.9889328358208958</v>
      </c>
      <c r="M8">
        <f t="shared" si="2"/>
        <v>22.649025423728816</v>
      </c>
      <c r="N8">
        <f t="shared" si="3"/>
        <v>1.6934765405029213</v>
      </c>
      <c r="O8">
        <f t="shared" si="4"/>
        <v>3706.75</v>
      </c>
      <c r="P8">
        <f t="shared" si="5"/>
        <v>40.949875827448764</v>
      </c>
      <c r="Q8" s="4" t="str">
        <f t="shared" si="6"/>
        <v>2025-03</v>
      </c>
    </row>
    <row r="9" spans="1:17" x14ac:dyDescent="0.3">
      <c r="A9" t="s">
        <v>17</v>
      </c>
      <c r="B9" s="2">
        <v>45756</v>
      </c>
      <c r="C9" t="s">
        <v>511</v>
      </c>
      <c r="D9" t="s">
        <v>516</v>
      </c>
      <c r="E9">
        <v>3976.46</v>
      </c>
      <c r="F9">
        <v>3529.68</v>
      </c>
      <c r="G9">
        <v>64153</v>
      </c>
      <c r="H9">
        <v>2806</v>
      </c>
      <c r="I9">
        <v>283</v>
      </c>
      <c r="J9">
        <v>8770.41</v>
      </c>
      <c r="K9">
        <f t="shared" si="0"/>
        <v>4.3739186008448554E-2</v>
      </c>
      <c r="L9">
        <f t="shared" si="1"/>
        <v>1.2579044903777619</v>
      </c>
      <c r="M9">
        <f t="shared" si="2"/>
        <v>12.472367491166077</v>
      </c>
      <c r="N9">
        <f t="shared" si="3"/>
        <v>2.4847606581899777</v>
      </c>
      <c r="O9">
        <f t="shared" si="4"/>
        <v>5240.7299999999996</v>
      </c>
      <c r="P9">
        <f t="shared" si="5"/>
        <v>59.754675095006959</v>
      </c>
      <c r="Q9" s="4" t="str">
        <f t="shared" si="6"/>
        <v>2025-04</v>
      </c>
    </row>
    <row r="10" spans="1:17" x14ac:dyDescent="0.3">
      <c r="A10" t="s">
        <v>18</v>
      </c>
      <c r="B10" s="2">
        <v>45690</v>
      </c>
      <c r="C10" t="s">
        <v>512</v>
      </c>
      <c r="D10" t="s">
        <v>518</v>
      </c>
      <c r="E10">
        <v>6192.49</v>
      </c>
      <c r="F10">
        <v>6412.65</v>
      </c>
      <c r="G10">
        <v>53911</v>
      </c>
      <c r="H10">
        <v>2127</v>
      </c>
      <c r="I10">
        <v>315</v>
      </c>
      <c r="J10">
        <v>8186.92</v>
      </c>
      <c r="K10">
        <f t="shared" si="0"/>
        <v>3.9453914785479771E-2</v>
      </c>
      <c r="L10">
        <f t="shared" si="1"/>
        <v>3.0148801128349785</v>
      </c>
      <c r="M10">
        <f t="shared" si="2"/>
        <v>20.357619047619046</v>
      </c>
      <c r="N10">
        <f t="shared" si="3"/>
        <v>1.2766828066400007</v>
      </c>
      <c r="O10">
        <f t="shared" si="4"/>
        <v>1774.2700000000004</v>
      </c>
      <c r="P10">
        <f t="shared" si="5"/>
        <v>21.672008520908967</v>
      </c>
      <c r="Q10" s="4" t="str">
        <f t="shared" si="6"/>
        <v>2025-02</v>
      </c>
    </row>
    <row r="11" spans="1:17" x14ac:dyDescent="0.3">
      <c r="A11" t="s">
        <v>19</v>
      </c>
      <c r="B11" s="2">
        <v>45751</v>
      </c>
      <c r="C11" t="s">
        <v>512</v>
      </c>
      <c r="D11" t="s">
        <v>516</v>
      </c>
      <c r="E11">
        <v>6599.64</v>
      </c>
      <c r="F11">
        <v>6452.63</v>
      </c>
      <c r="G11">
        <v>185980</v>
      </c>
      <c r="H11">
        <v>5168</v>
      </c>
      <c r="I11">
        <v>68</v>
      </c>
      <c r="J11">
        <v>1454.76</v>
      </c>
      <c r="K11">
        <f t="shared" si="0"/>
        <v>2.7787934186471665E-2</v>
      </c>
      <c r="L11">
        <f t="shared" si="1"/>
        <v>1.2485739164086687</v>
      </c>
      <c r="M11">
        <f t="shared" si="2"/>
        <v>94.891617647058823</v>
      </c>
      <c r="N11">
        <f t="shared" si="3"/>
        <v>0.22545225745161274</v>
      </c>
      <c r="O11">
        <f t="shared" si="4"/>
        <v>-4997.87</v>
      </c>
      <c r="P11">
        <f t="shared" si="5"/>
        <v>-343.55288844895375</v>
      </c>
      <c r="Q11" s="4" t="str">
        <f t="shared" si="6"/>
        <v>2025-04</v>
      </c>
    </row>
    <row r="12" spans="1:17" x14ac:dyDescent="0.3">
      <c r="A12" t="s">
        <v>20</v>
      </c>
      <c r="B12" s="2">
        <v>45744</v>
      </c>
      <c r="C12" t="s">
        <v>512</v>
      </c>
      <c r="D12" t="s">
        <v>517</v>
      </c>
      <c r="E12">
        <v>7252.81</v>
      </c>
      <c r="F12">
        <v>6173.28</v>
      </c>
      <c r="G12">
        <v>195024</v>
      </c>
      <c r="H12">
        <v>9701</v>
      </c>
      <c r="I12">
        <v>801</v>
      </c>
      <c r="J12">
        <v>17583.189999999999</v>
      </c>
      <c r="K12">
        <f t="shared" si="0"/>
        <v>4.9742595783083106E-2</v>
      </c>
      <c r="L12">
        <f t="shared" si="1"/>
        <v>0.63635501494691271</v>
      </c>
      <c r="M12">
        <f t="shared" si="2"/>
        <v>7.7069662921348314</v>
      </c>
      <c r="N12">
        <f t="shared" si="3"/>
        <v>2.8482735272010991</v>
      </c>
      <c r="O12">
        <f t="shared" si="4"/>
        <v>11409.91</v>
      </c>
      <c r="P12">
        <f t="shared" si="5"/>
        <v>64.891012381712315</v>
      </c>
      <c r="Q12" s="4" t="str">
        <f t="shared" si="6"/>
        <v>2025-03</v>
      </c>
    </row>
    <row r="13" spans="1:17" x14ac:dyDescent="0.3">
      <c r="A13" t="s">
        <v>21</v>
      </c>
      <c r="B13" s="2">
        <v>45754</v>
      </c>
      <c r="C13" t="s">
        <v>514</v>
      </c>
      <c r="D13" t="s">
        <v>516</v>
      </c>
      <c r="E13">
        <v>9642.2000000000007</v>
      </c>
      <c r="F13">
        <v>10507.01</v>
      </c>
      <c r="G13">
        <v>54909</v>
      </c>
      <c r="H13">
        <v>2182</v>
      </c>
      <c r="I13">
        <v>153</v>
      </c>
      <c r="J13">
        <v>6770.54</v>
      </c>
      <c r="K13">
        <f t="shared" si="0"/>
        <v>3.9738476388205941E-2</v>
      </c>
      <c r="L13">
        <f t="shared" si="1"/>
        <v>4.815311640696609</v>
      </c>
      <c r="M13">
        <f t="shared" si="2"/>
        <v>68.673267973856213</v>
      </c>
      <c r="N13">
        <f t="shared" si="3"/>
        <v>0.64438313088119259</v>
      </c>
      <c r="O13">
        <f t="shared" si="4"/>
        <v>-3736.4700000000003</v>
      </c>
      <c r="P13">
        <f t="shared" si="5"/>
        <v>-55.187178570690087</v>
      </c>
      <c r="Q13" s="4" t="str">
        <f t="shared" si="6"/>
        <v>2025-04</v>
      </c>
    </row>
    <row r="14" spans="1:17" x14ac:dyDescent="0.3">
      <c r="A14" t="s">
        <v>22</v>
      </c>
      <c r="B14" s="2">
        <v>45805</v>
      </c>
      <c r="C14" t="s">
        <v>513</v>
      </c>
      <c r="D14" t="s">
        <v>518</v>
      </c>
      <c r="E14">
        <v>5132.3</v>
      </c>
      <c r="F14">
        <v>4256.22</v>
      </c>
      <c r="G14">
        <v>69520</v>
      </c>
      <c r="H14">
        <v>1141</v>
      </c>
      <c r="I14">
        <v>134</v>
      </c>
      <c r="J14">
        <v>5430.62</v>
      </c>
      <c r="K14">
        <f t="shared" si="0"/>
        <v>1.6412543153049481E-2</v>
      </c>
      <c r="L14">
        <f t="shared" si="1"/>
        <v>3.7302541630148993</v>
      </c>
      <c r="M14">
        <f t="shared" si="2"/>
        <v>31.762835820895525</v>
      </c>
      <c r="N14">
        <f t="shared" si="3"/>
        <v>1.2759255865533266</v>
      </c>
      <c r="O14">
        <f t="shared" si="4"/>
        <v>1174.3999999999996</v>
      </c>
      <c r="P14">
        <f t="shared" si="5"/>
        <v>21.625523420898528</v>
      </c>
      <c r="Q14" s="4" t="str">
        <f t="shared" si="6"/>
        <v>2025-05</v>
      </c>
    </row>
    <row r="15" spans="1:17" x14ac:dyDescent="0.3">
      <c r="A15" t="s">
        <v>23</v>
      </c>
      <c r="B15" s="2">
        <v>45672</v>
      </c>
      <c r="C15" t="s">
        <v>513</v>
      </c>
      <c r="D15" t="s">
        <v>515</v>
      </c>
      <c r="E15">
        <v>6081.07</v>
      </c>
      <c r="F15">
        <v>5087.49</v>
      </c>
      <c r="G15">
        <v>126413</v>
      </c>
      <c r="H15">
        <v>3059</v>
      </c>
      <c r="I15">
        <v>58</v>
      </c>
      <c r="J15">
        <v>2021.61</v>
      </c>
      <c r="K15">
        <f t="shared" si="0"/>
        <v>2.4198460601362201E-2</v>
      </c>
      <c r="L15">
        <f t="shared" si="1"/>
        <v>1.6631219352729649</v>
      </c>
      <c r="M15">
        <f t="shared" si="2"/>
        <v>87.715344827586208</v>
      </c>
      <c r="N15">
        <f t="shared" si="3"/>
        <v>0.39736884003703199</v>
      </c>
      <c r="O15">
        <f t="shared" si="4"/>
        <v>-3065.88</v>
      </c>
      <c r="P15">
        <f t="shared" si="5"/>
        <v>-151.65536379420362</v>
      </c>
      <c r="Q15" s="4" t="str">
        <f t="shared" si="6"/>
        <v>2025-01</v>
      </c>
    </row>
    <row r="16" spans="1:17" x14ac:dyDescent="0.3">
      <c r="A16" t="s">
        <v>24</v>
      </c>
      <c r="B16" s="2">
        <v>45646</v>
      </c>
      <c r="C16" t="s">
        <v>510</v>
      </c>
      <c r="D16" t="s">
        <v>515</v>
      </c>
      <c r="E16">
        <v>3240.72</v>
      </c>
      <c r="F16">
        <v>3476.63</v>
      </c>
      <c r="G16">
        <v>76429</v>
      </c>
      <c r="H16">
        <v>2090</v>
      </c>
      <c r="I16">
        <v>69</v>
      </c>
      <c r="J16">
        <v>1915.67</v>
      </c>
      <c r="K16">
        <f t="shared" si="0"/>
        <v>2.734564105248008E-2</v>
      </c>
      <c r="L16">
        <f t="shared" si="1"/>
        <v>1.6634593301435407</v>
      </c>
      <c r="M16">
        <f t="shared" si="2"/>
        <v>50.385942028985511</v>
      </c>
      <c r="N16">
        <f t="shared" si="3"/>
        <v>0.55101348144611306</v>
      </c>
      <c r="O16">
        <f t="shared" si="4"/>
        <v>-1560.96</v>
      </c>
      <c r="P16">
        <f t="shared" si="5"/>
        <v>-81.483762861035558</v>
      </c>
      <c r="Q16" s="4" t="str">
        <f t="shared" si="6"/>
        <v>2024-12</v>
      </c>
    </row>
    <row r="17" spans="1:17" x14ac:dyDescent="0.3">
      <c r="A17" t="s">
        <v>25</v>
      </c>
      <c r="B17" s="2">
        <v>45691</v>
      </c>
      <c r="C17" t="s">
        <v>510</v>
      </c>
      <c r="D17" t="s">
        <v>518</v>
      </c>
      <c r="E17">
        <v>7637.66</v>
      </c>
      <c r="F17">
        <v>6824.35</v>
      </c>
      <c r="G17">
        <v>59367</v>
      </c>
      <c r="H17">
        <v>1348</v>
      </c>
      <c r="I17">
        <v>152</v>
      </c>
      <c r="J17">
        <v>5411.51</v>
      </c>
      <c r="K17">
        <f t="shared" si="0"/>
        <v>2.2706217258746442E-2</v>
      </c>
      <c r="L17">
        <f t="shared" si="1"/>
        <v>5.0625741839762615</v>
      </c>
      <c r="M17">
        <f t="shared" si="2"/>
        <v>44.89703947368421</v>
      </c>
      <c r="N17">
        <f t="shared" si="3"/>
        <v>0.79297075911991621</v>
      </c>
      <c r="O17">
        <f t="shared" si="4"/>
        <v>-1412.8400000000001</v>
      </c>
      <c r="P17">
        <f t="shared" si="5"/>
        <v>-26.108054868234561</v>
      </c>
      <c r="Q17" s="4" t="str">
        <f t="shared" si="6"/>
        <v>2025-02</v>
      </c>
    </row>
    <row r="18" spans="1:17" x14ac:dyDescent="0.3">
      <c r="A18" t="s">
        <v>26</v>
      </c>
      <c r="B18" s="2">
        <v>45725</v>
      </c>
      <c r="C18" t="s">
        <v>511</v>
      </c>
      <c r="D18" t="s">
        <v>518</v>
      </c>
      <c r="E18">
        <v>6826.97</v>
      </c>
      <c r="F18">
        <v>5840.17</v>
      </c>
      <c r="G18">
        <v>186370</v>
      </c>
      <c r="H18">
        <v>9073</v>
      </c>
      <c r="I18">
        <v>1366</v>
      </c>
      <c r="J18">
        <v>67053.58</v>
      </c>
      <c r="K18">
        <f t="shared" si="0"/>
        <v>4.8682727906851964E-2</v>
      </c>
      <c r="L18">
        <f t="shared" si="1"/>
        <v>0.64368676292295823</v>
      </c>
      <c r="M18">
        <f t="shared" si="2"/>
        <v>4.2753806734992681</v>
      </c>
      <c r="N18">
        <f t="shared" si="3"/>
        <v>11.481443177167789</v>
      </c>
      <c r="O18">
        <f t="shared" si="4"/>
        <v>61213.41</v>
      </c>
      <c r="P18">
        <f t="shared" si="5"/>
        <v>91.2902935234778</v>
      </c>
      <c r="Q18" s="4" t="str">
        <f t="shared" si="6"/>
        <v>2025-03</v>
      </c>
    </row>
    <row r="19" spans="1:17" x14ac:dyDescent="0.3">
      <c r="A19" t="s">
        <v>27</v>
      </c>
      <c r="B19" s="2">
        <v>45791</v>
      </c>
      <c r="C19" t="s">
        <v>514</v>
      </c>
      <c r="D19" t="s">
        <v>518</v>
      </c>
      <c r="E19">
        <v>8425.93</v>
      </c>
      <c r="F19">
        <v>9115.59</v>
      </c>
      <c r="G19">
        <v>177209</v>
      </c>
      <c r="H19">
        <v>2628</v>
      </c>
      <c r="I19">
        <v>342</v>
      </c>
      <c r="J19">
        <v>16020.93</v>
      </c>
      <c r="K19">
        <f t="shared" si="0"/>
        <v>1.4829946560276284E-2</v>
      </c>
      <c r="L19">
        <f t="shared" si="1"/>
        <v>3.4686415525114156</v>
      </c>
      <c r="M19">
        <f t="shared" si="2"/>
        <v>26.653771929824561</v>
      </c>
      <c r="N19">
        <f t="shared" si="3"/>
        <v>1.7575307796862298</v>
      </c>
      <c r="O19">
        <f t="shared" si="4"/>
        <v>6905.34</v>
      </c>
      <c r="P19">
        <f t="shared" si="5"/>
        <v>43.101992206444947</v>
      </c>
      <c r="Q19" s="4" t="str">
        <f t="shared" si="6"/>
        <v>2025-05</v>
      </c>
    </row>
    <row r="20" spans="1:17" x14ac:dyDescent="0.3">
      <c r="A20" t="s">
        <v>28</v>
      </c>
      <c r="B20" s="2">
        <v>45803</v>
      </c>
      <c r="C20" t="s">
        <v>510</v>
      </c>
      <c r="D20" t="s">
        <v>516</v>
      </c>
      <c r="E20">
        <v>7185.3</v>
      </c>
      <c r="F20">
        <v>7735.42</v>
      </c>
      <c r="G20">
        <v>113245</v>
      </c>
      <c r="H20">
        <v>4048</v>
      </c>
      <c r="I20">
        <v>620</v>
      </c>
      <c r="J20">
        <v>14045.96</v>
      </c>
      <c r="K20">
        <f t="shared" si="0"/>
        <v>3.5745507527926178E-2</v>
      </c>
      <c r="L20">
        <f t="shared" si="1"/>
        <v>1.9109239130434783</v>
      </c>
      <c r="M20">
        <f t="shared" si="2"/>
        <v>12.476483870967742</v>
      </c>
      <c r="N20">
        <f t="shared" si="3"/>
        <v>1.8157979786488645</v>
      </c>
      <c r="O20">
        <f t="shared" si="4"/>
        <v>6310.5399999999991</v>
      </c>
      <c r="P20">
        <f t="shared" si="5"/>
        <v>44.927794184235175</v>
      </c>
      <c r="Q20" s="4" t="str">
        <f t="shared" si="6"/>
        <v>2025-05</v>
      </c>
    </row>
    <row r="21" spans="1:17" x14ac:dyDescent="0.3">
      <c r="A21" t="s">
        <v>29</v>
      </c>
      <c r="B21" s="2">
        <v>45669</v>
      </c>
      <c r="C21" t="s">
        <v>510</v>
      </c>
      <c r="D21" t="s">
        <v>517</v>
      </c>
      <c r="E21">
        <v>4371.88</v>
      </c>
      <c r="F21">
        <v>3556.82</v>
      </c>
      <c r="G21">
        <v>134800</v>
      </c>
      <c r="H21">
        <v>4917</v>
      </c>
      <c r="I21">
        <v>128</v>
      </c>
      <c r="J21">
        <v>3809.27</v>
      </c>
      <c r="K21">
        <f t="shared" si="0"/>
        <v>3.6476261127596436E-2</v>
      </c>
      <c r="L21">
        <f t="shared" si="1"/>
        <v>0.72337197478137083</v>
      </c>
      <c r="M21">
        <f t="shared" si="2"/>
        <v>27.787656250000001</v>
      </c>
      <c r="N21">
        <f t="shared" si="3"/>
        <v>1.0709763215456503</v>
      </c>
      <c r="O21">
        <f t="shared" si="4"/>
        <v>252.44999999999982</v>
      </c>
      <c r="P21">
        <f t="shared" si="5"/>
        <v>6.6272540408004632</v>
      </c>
      <c r="Q21" s="4" t="str">
        <f t="shared" si="6"/>
        <v>2025-01</v>
      </c>
    </row>
    <row r="22" spans="1:17" x14ac:dyDescent="0.3">
      <c r="A22" t="s">
        <v>30</v>
      </c>
      <c r="B22" s="2">
        <v>45814</v>
      </c>
      <c r="C22" t="s">
        <v>510</v>
      </c>
      <c r="D22" t="s">
        <v>515</v>
      </c>
      <c r="E22">
        <v>5720.74</v>
      </c>
      <c r="F22">
        <v>5042.29</v>
      </c>
      <c r="G22">
        <v>128160</v>
      </c>
      <c r="H22">
        <v>1491</v>
      </c>
      <c r="I22">
        <v>279</v>
      </c>
      <c r="J22">
        <v>12516.53</v>
      </c>
      <c r="K22">
        <f t="shared" si="0"/>
        <v>1.1633895131086142E-2</v>
      </c>
      <c r="L22">
        <f t="shared" si="1"/>
        <v>3.381817572099262</v>
      </c>
      <c r="M22">
        <f t="shared" si="2"/>
        <v>18.072724014336917</v>
      </c>
      <c r="N22">
        <f t="shared" si="3"/>
        <v>2.4823106168030797</v>
      </c>
      <c r="O22">
        <f t="shared" si="4"/>
        <v>7474.2400000000007</v>
      </c>
      <c r="P22">
        <f t="shared" si="5"/>
        <v>59.714952946223917</v>
      </c>
      <c r="Q22" s="4" t="str">
        <f t="shared" si="6"/>
        <v>2025-06</v>
      </c>
    </row>
    <row r="23" spans="1:17" x14ac:dyDescent="0.3">
      <c r="A23" t="s">
        <v>31</v>
      </c>
      <c r="B23" s="2">
        <v>45784</v>
      </c>
      <c r="C23" t="s">
        <v>514</v>
      </c>
      <c r="D23" t="s">
        <v>518</v>
      </c>
      <c r="E23">
        <v>5497.27</v>
      </c>
      <c r="F23">
        <v>4861.13</v>
      </c>
      <c r="G23">
        <v>156949</v>
      </c>
      <c r="H23">
        <v>1762</v>
      </c>
      <c r="I23">
        <v>304</v>
      </c>
      <c r="J23">
        <v>11029.39</v>
      </c>
      <c r="K23">
        <f t="shared" si="0"/>
        <v>1.1226576786089749E-2</v>
      </c>
      <c r="L23">
        <f t="shared" si="1"/>
        <v>2.7588706015891034</v>
      </c>
      <c r="M23">
        <f t="shared" si="2"/>
        <v>15.990559210526316</v>
      </c>
      <c r="N23">
        <f t="shared" si="3"/>
        <v>2.2688942694394099</v>
      </c>
      <c r="O23">
        <f t="shared" si="4"/>
        <v>6168.2599999999993</v>
      </c>
      <c r="P23">
        <f t="shared" si="5"/>
        <v>55.925667693317585</v>
      </c>
      <c r="Q23" s="4" t="str">
        <f t="shared" si="6"/>
        <v>2025-05</v>
      </c>
    </row>
    <row r="24" spans="1:17" x14ac:dyDescent="0.3">
      <c r="A24" t="s">
        <v>32</v>
      </c>
      <c r="B24" s="2">
        <v>45810</v>
      </c>
      <c r="C24" t="s">
        <v>511</v>
      </c>
      <c r="D24" t="s">
        <v>518</v>
      </c>
      <c r="E24">
        <v>3986.47</v>
      </c>
      <c r="F24">
        <v>4148.5600000000004</v>
      </c>
      <c r="G24">
        <v>138676</v>
      </c>
      <c r="H24">
        <v>4683</v>
      </c>
      <c r="I24">
        <v>91</v>
      </c>
      <c r="J24">
        <v>2023.52</v>
      </c>
      <c r="K24">
        <f t="shared" si="0"/>
        <v>3.3769361677579393E-2</v>
      </c>
      <c r="L24">
        <f t="shared" si="1"/>
        <v>0.88587657484518478</v>
      </c>
      <c r="M24">
        <f t="shared" si="2"/>
        <v>45.588571428571434</v>
      </c>
      <c r="N24">
        <f t="shared" si="3"/>
        <v>0.48776442910311041</v>
      </c>
      <c r="O24">
        <f t="shared" si="4"/>
        <v>-2125.0400000000004</v>
      </c>
      <c r="P24">
        <f t="shared" si="5"/>
        <v>-105.01700007907016</v>
      </c>
      <c r="Q24" s="4" t="str">
        <f t="shared" si="6"/>
        <v>2025-06</v>
      </c>
    </row>
    <row r="25" spans="1:17" x14ac:dyDescent="0.3">
      <c r="A25" t="s">
        <v>33</v>
      </c>
      <c r="B25" s="2">
        <v>45766</v>
      </c>
      <c r="C25" t="s">
        <v>514</v>
      </c>
      <c r="D25" t="s">
        <v>516</v>
      </c>
      <c r="E25">
        <v>9908.2099999999991</v>
      </c>
      <c r="F25">
        <v>10222.040000000001</v>
      </c>
      <c r="G25">
        <v>133918</v>
      </c>
      <c r="H25">
        <v>4771</v>
      </c>
      <c r="I25">
        <v>266</v>
      </c>
      <c r="J25">
        <v>6905.75</v>
      </c>
      <c r="K25">
        <f t="shared" si="0"/>
        <v>3.5626278767604054E-2</v>
      </c>
      <c r="L25">
        <f t="shared" si="1"/>
        <v>2.1425361559421505</v>
      </c>
      <c r="M25">
        <f t="shared" si="2"/>
        <v>38.428721804511284</v>
      </c>
      <c r="N25">
        <f t="shared" si="3"/>
        <v>0.67557454285054641</v>
      </c>
      <c r="O25">
        <f t="shared" si="4"/>
        <v>-3316.2900000000009</v>
      </c>
      <c r="P25">
        <f t="shared" si="5"/>
        <v>-48.022155450168356</v>
      </c>
      <c r="Q25" s="4" t="str">
        <f t="shared" si="6"/>
        <v>2025-04</v>
      </c>
    </row>
    <row r="26" spans="1:17" x14ac:dyDescent="0.3">
      <c r="A26" t="s">
        <v>34</v>
      </c>
      <c r="B26" s="2">
        <v>45703</v>
      </c>
      <c r="C26" t="s">
        <v>512</v>
      </c>
      <c r="D26" t="s">
        <v>515</v>
      </c>
      <c r="E26">
        <v>3038.65</v>
      </c>
      <c r="F26">
        <v>3174.29</v>
      </c>
      <c r="G26">
        <v>116892</v>
      </c>
      <c r="H26">
        <v>1613</v>
      </c>
      <c r="I26">
        <v>73</v>
      </c>
      <c r="J26">
        <v>3008.02</v>
      </c>
      <c r="K26">
        <f t="shared" si="0"/>
        <v>1.3799062382370051E-2</v>
      </c>
      <c r="L26">
        <f t="shared" si="1"/>
        <v>1.9679417234965901</v>
      </c>
      <c r="M26">
        <f t="shared" si="2"/>
        <v>43.483424657534243</v>
      </c>
      <c r="N26">
        <f t="shared" si="3"/>
        <v>0.94761978269156255</v>
      </c>
      <c r="O26">
        <f t="shared" si="4"/>
        <v>-166.26999999999998</v>
      </c>
      <c r="P26">
        <f t="shared" si="5"/>
        <v>-5.5275563327371486</v>
      </c>
      <c r="Q26" s="4" t="str">
        <f t="shared" si="6"/>
        <v>2025-02</v>
      </c>
    </row>
    <row r="27" spans="1:17" x14ac:dyDescent="0.3">
      <c r="A27" t="s">
        <v>35</v>
      </c>
      <c r="B27" s="2">
        <v>45753</v>
      </c>
      <c r="C27" t="s">
        <v>511</v>
      </c>
      <c r="D27" t="s">
        <v>518</v>
      </c>
      <c r="E27">
        <v>8103.05</v>
      </c>
      <c r="F27">
        <v>8357.33</v>
      </c>
      <c r="G27">
        <v>187598</v>
      </c>
      <c r="H27">
        <v>7514</v>
      </c>
      <c r="I27">
        <v>1465</v>
      </c>
      <c r="J27">
        <v>32554.26</v>
      </c>
      <c r="K27">
        <f t="shared" si="0"/>
        <v>4.005373191611851E-2</v>
      </c>
      <c r="L27">
        <f t="shared" si="1"/>
        <v>1.112234495608198</v>
      </c>
      <c r="M27">
        <f t="shared" si="2"/>
        <v>5.7046621160409554</v>
      </c>
      <c r="N27">
        <f t="shared" si="3"/>
        <v>3.8952943105034739</v>
      </c>
      <c r="O27">
        <f t="shared" si="4"/>
        <v>24196.93</v>
      </c>
      <c r="P27">
        <f t="shared" si="5"/>
        <v>74.327998854834973</v>
      </c>
      <c r="Q27" s="4" t="str">
        <f t="shared" si="6"/>
        <v>2025-04</v>
      </c>
    </row>
    <row r="28" spans="1:17" x14ac:dyDescent="0.3">
      <c r="A28" t="s">
        <v>36</v>
      </c>
      <c r="B28" s="2">
        <v>45721</v>
      </c>
      <c r="C28" t="s">
        <v>513</v>
      </c>
      <c r="D28" t="s">
        <v>518</v>
      </c>
      <c r="E28">
        <v>5509.26</v>
      </c>
      <c r="F28">
        <v>4598.91</v>
      </c>
      <c r="G28">
        <v>145792</v>
      </c>
      <c r="H28">
        <v>2973</v>
      </c>
      <c r="I28">
        <v>495</v>
      </c>
      <c r="J28">
        <v>22717.09</v>
      </c>
      <c r="K28">
        <f t="shared" si="0"/>
        <v>2.0392065408252853E-2</v>
      </c>
      <c r="L28">
        <f t="shared" si="1"/>
        <v>1.5468920282542886</v>
      </c>
      <c r="M28">
        <f t="shared" si="2"/>
        <v>9.2907272727272723</v>
      </c>
      <c r="N28">
        <f t="shared" si="3"/>
        <v>4.9396683127088812</v>
      </c>
      <c r="O28">
        <f t="shared" si="4"/>
        <v>18118.18</v>
      </c>
      <c r="P28">
        <f t="shared" si="5"/>
        <v>79.755725755367436</v>
      </c>
      <c r="Q28" s="4" t="str">
        <f t="shared" si="6"/>
        <v>2025-03</v>
      </c>
    </row>
    <row r="29" spans="1:17" x14ac:dyDescent="0.3">
      <c r="A29" t="s">
        <v>37</v>
      </c>
      <c r="B29" s="2">
        <v>45809</v>
      </c>
      <c r="C29" t="s">
        <v>511</v>
      </c>
      <c r="D29" t="s">
        <v>515</v>
      </c>
      <c r="E29">
        <v>7363.09</v>
      </c>
      <c r="F29">
        <v>6621.4</v>
      </c>
      <c r="G29">
        <v>144942</v>
      </c>
      <c r="H29">
        <v>5511</v>
      </c>
      <c r="I29">
        <v>222</v>
      </c>
      <c r="J29">
        <v>4863.3</v>
      </c>
      <c r="K29">
        <f t="shared" si="0"/>
        <v>3.8022105393881692E-2</v>
      </c>
      <c r="L29">
        <f t="shared" si="1"/>
        <v>1.2014879332244601</v>
      </c>
      <c r="M29">
        <f t="shared" si="2"/>
        <v>29.826126126126123</v>
      </c>
      <c r="N29">
        <f t="shared" si="3"/>
        <v>0.73448213368773985</v>
      </c>
      <c r="O29">
        <f t="shared" si="4"/>
        <v>-1758.0999999999995</v>
      </c>
      <c r="P29">
        <f t="shared" si="5"/>
        <v>-36.150350584993717</v>
      </c>
      <c r="Q29" s="4" t="str">
        <f t="shared" si="6"/>
        <v>2025-06</v>
      </c>
    </row>
    <row r="30" spans="1:17" x14ac:dyDescent="0.3">
      <c r="A30" t="s">
        <v>38</v>
      </c>
      <c r="B30" s="2">
        <v>45809</v>
      </c>
      <c r="C30" t="s">
        <v>513</v>
      </c>
      <c r="D30" t="s">
        <v>518</v>
      </c>
      <c r="E30">
        <v>5176.88</v>
      </c>
      <c r="F30">
        <v>4646.53</v>
      </c>
      <c r="G30">
        <v>81620</v>
      </c>
      <c r="H30">
        <v>3629</v>
      </c>
      <c r="I30">
        <v>513</v>
      </c>
      <c r="J30">
        <v>21488.639999999999</v>
      </c>
      <c r="K30">
        <f t="shared" si="0"/>
        <v>4.4462141631952952E-2</v>
      </c>
      <c r="L30">
        <f t="shared" si="1"/>
        <v>1.2803885367869936</v>
      </c>
      <c r="M30">
        <f t="shared" si="2"/>
        <v>9.0575633528265094</v>
      </c>
      <c r="N30">
        <f t="shared" si="3"/>
        <v>4.624663996573787</v>
      </c>
      <c r="O30">
        <f t="shared" si="4"/>
        <v>16842.11</v>
      </c>
      <c r="P30">
        <f t="shared" si="5"/>
        <v>78.376807466642845</v>
      </c>
      <c r="Q30" s="4" t="str">
        <f t="shared" si="6"/>
        <v>2025-06</v>
      </c>
    </row>
    <row r="31" spans="1:17" x14ac:dyDescent="0.3">
      <c r="A31" t="s">
        <v>39</v>
      </c>
      <c r="B31" s="2">
        <v>45679</v>
      </c>
      <c r="C31" t="s">
        <v>510</v>
      </c>
      <c r="D31" t="s">
        <v>516</v>
      </c>
      <c r="E31">
        <v>7462.9</v>
      </c>
      <c r="F31">
        <v>7956.67</v>
      </c>
      <c r="G31">
        <v>73683</v>
      </c>
      <c r="H31">
        <v>2259</v>
      </c>
      <c r="I31">
        <v>324</v>
      </c>
      <c r="J31">
        <v>11069.93</v>
      </c>
      <c r="K31">
        <f t="shared" si="0"/>
        <v>3.0658360815927689E-2</v>
      </c>
      <c r="L31">
        <f t="shared" si="1"/>
        <v>3.5222089420097387</v>
      </c>
      <c r="M31">
        <f t="shared" si="2"/>
        <v>24.557623456790125</v>
      </c>
      <c r="N31">
        <f t="shared" si="3"/>
        <v>1.3912767527118757</v>
      </c>
      <c r="O31">
        <f t="shared" si="4"/>
        <v>3113.26</v>
      </c>
      <c r="P31">
        <f t="shared" si="5"/>
        <v>28.123574403812849</v>
      </c>
      <c r="Q31" s="4" t="str">
        <f t="shared" si="6"/>
        <v>2025-01</v>
      </c>
    </row>
    <row r="32" spans="1:17" x14ac:dyDescent="0.3">
      <c r="A32" t="s">
        <v>40</v>
      </c>
      <c r="B32" s="2">
        <v>45768</v>
      </c>
      <c r="C32" t="s">
        <v>510</v>
      </c>
      <c r="D32" t="s">
        <v>517</v>
      </c>
      <c r="E32">
        <v>3837.16</v>
      </c>
      <c r="F32">
        <v>3890.78</v>
      </c>
      <c r="G32">
        <v>69783</v>
      </c>
      <c r="H32">
        <v>2886</v>
      </c>
      <c r="I32">
        <v>227</v>
      </c>
      <c r="J32">
        <v>9720.9500000000007</v>
      </c>
      <c r="K32">
        <f t="shared" si="0"/>
        <v>4.1356777438631184E-2</v>
      </c>
      <c r="L32">
        <f t="shared" si="1"/>
        <v>1.3481566181566182</v>
      </c>
      <c r="M32">
        <f t="shared" si="2"/>
        <v>17.14</v>
      </c>
      <c r="N32">
        <f t="shared" si="3"/>
        <v>2.4984578927618628</v>
      </c>
      <c r="O32">
        <f t="shared" si="4"/>
        <v>5830.17</v>
      </c>
      <c r="P32">
        <f t="shared" si="5"/>
        <v>59.975311054989476</v>
      </c>
      <c r="Q32" s="4" t="str">
        <f t="shared" si="6"/>
        <v>2025-04</v>
      </c>
    </row>
    <row r="33" spans="1:17" x14ac:dyDescent="0.3">
      <c r="A33" t="s">
        <v>41</v>
      </c>
      <c r="B33" s="2">
        <v>45802</v>
      </c>
      <c r="C33" t="s">
        <v>513</v>
      </c>
      <c r="D33" t="s">
        <v>516</v>
      </c>
      <c r="E33">
        <v>6928.94</v>
      </c>
      <c r="F33">
        <v>7145.75</v>
      </c>
      <c r="G33">
        <v>154773</v>
      </c>
      <c r="H33">
        <v>2350</v>
      </c>
      <c r="I33">
        <v>389</v>
      </c>
      <c r="J33">
        <v>13542.59</v>
      </c>
      <c r="K33">
        <f t="shared" si="0"/>
        <v>1.5183526842537135E-2</v>
      </c>
      <c r="L33">
        <f t="shared" si="1"/>
        <v>3.0407446808510636</v>
      </c>
      <c r="M33">
        <f t="shared" si="2"/>
        <v>18.369537275064268</v>
      </c>
      <c r="N33">
        <f t="shared" si="3"/>
        <v>1.8951950460063673</v>
      </c>
      <c r="O33">
        <f t="shared" si="4"/>
        <v>6396.84</v>
      </c>
      <c r="P33">
        <f t="shared" si="5"/>
        <v>47.234982377816948</v>
      </c>
      <c r="Q33" s="4" t="str">
        <f t="shared" si="6"/>
        <v>2025-05</v>
      </c>
    </row>
    <row r="34" spans="1:17" x14ac:dyDescent="0.3">
      <c r="A34" t="s">
        <v>42</v>
      </c>
      <c r="B34" s="2">
        <v>45711</v>
      </c>
      <c r="C34" t="s">
        <v>514</v>
      </c>
      <c r="D34" t="s">
        <v>515</v>
      </c>
      <c r="E34">
        <v>6659.13</v>
      </c>
      <c r="F34">
        <v>6181.42</v>
      </c>
      <c r="G34">
        <v>69731</v>
      </c>
      <c r="H34">
        <v>2872</v>
      </c>
      <c r="I34">
        <v>455</v>
      </c>
      <c r="J34">
        <v>9446.9699999999993</v>
      </c>
      <c r="K34">
        <f t="shared" si="0"/>
        <v>4.1186846596205418E-2</v>
      </c>
      <c r="L34">
        <f t="shared" si="1"/>
        <v>2.1523050139275766</v>
      </c>
      <c r="M34">
        <f t="shared" si="2"/>
        <v>13.585538461538462</v>
      </c>
      <c r="N34">
        <f t="shared" si="3"/>
        <v>1.5282847630479726</v>
      </c>
      <c r="O34">
        <f t="shared" si="4"/>
        <v>3265.5499999999993</v>
      </c>
      <c r="P34">
        <f t="shared" si="5"/>
        <v>34.567168097284096</v>
      </c>
      <c r="Q34" s="4" t="str">
        <f t="shared" si="6"/>
        <v>2025-02</v>
      </c>
    </row>
    <row r="35" spans="1:17" x14ac:dyDescent="0.3">
      <c r="A35" t="s">
        <v>43</v>
      </c>
      <c r="B35" s="2">
        <v>45690</v>
      </c>
      <c r="C35" t="s">
        <v>513</v>
      </c>
      <c r="D35" t="s">
        <v>516</v>
      </c>
      <c r="E35">
        <v>3755.24</v>
      </c>
      <c r="F35">
        <v>3039.6</v>
      </c>
      <c r="G35">
        <v>188839</v>
      </c>
      <c r="H35">
        <v>7836</v>
      </c>
      <c r="I35">
        <v>1477</v>
      </c>
      <c r="J35">
        <v>57739.35</v>
      </c>
      <c r="K35">
        <f t="shared" si="0"/>
        <v>4.1495665619919617E-2</v>
      </c>
      <c r="L35">
        <f t="shared" si="1"/>
        <v>0.38790199081163856</v>
      </c>
      <c r="M35">
        <f t="shared" si="2"/>
        <v>2.0579553148273528</v>
      </c>
      <c r="N35">
        <f t="shared" si="3"/>
        <v>18.995706671930517</v>
      </c>
      <c r="O35">
        <f t="shared" si="4"/>
        <v>54699.75</v>
      </c>
      <c r="P35">
        <f t="shared" si="5"/>
        <v>94.735652548911617</v>
      </c>
      <c r="Q35" s="4" t="str">
        <f t="shared" si="6"/>
        <v>2025-02</v>
      </c>
    </row>
    <row r="36" spans="1:17" x14ac:dyDescent="0.3">
      <c r="A36" t="s">
        <v>44</v>
      </c>
      <c r="B36" s="2">
        <v>45653</v>
      </c>
      <c r="C36" t="s">
        <v>512</v>
      </c>
      <c r="D36" t="s">
        <v>517</v>
      </c>
      <c r="E36">
        <v>5200.49</v>
      </c>
      <c r="F36">
        <v>4953.84</v>
      </c>
      <c r="G36">
        <v>146830</v>
      </c>
      <c r="H36">
        <v>6778</v>
      </c>
      <c r="I36">
        <v>787</v>
      </c>
      <c r="J36">
        <v>37167.64</v>
      </c>
      <c r="K36">
        <f t="shared" si="0"/>
        <v>4.6162228427433089E-2</v>
      </c>
      <c r="L36">
        <f t="shared" si="1"/>
        <v>0.73087046326349958</v>
      </c>
      <c r="M36">
        <f t="shared" si="2"/>
        <v>6.2945870393900893</v>
      </c>
      <c r="N36">
        <f t="shared" si="3"/>
        <v>7.5027937922904249</v>
      </c>
      <c r="O36">
        <f t="shared" si="4"/>
        <v>32213.8</v>
      </c>
      <c r="P36">
        <f t="shared" si="5"/>
        <v>86.671631559065901</v>
      </c>
      <c r="Q36" s="4" t="str">
        <f t="shared" si="6"/>
        <v>2024-12</v>
      </c>
    </row>
    <row r="37" spans="1:17" x14ac:dyDescent="0.3">
      <c r="A37" t="s">
        <v>45</v>
      </c>
      <c r="B37" s="2">
        <v>45755</v>
      </c>
      <c r="C37" t="s">
        <v>514</v>
      </c>
      <c r="D37" t="s">
        <v>515</v>
      </c>
      <c r="E37">
        <v>4745.05</v>
      </c>
      <c r="F37">
        <v>4380.2299999999996</v>
      </c>
      <c r="G37">
        <v>114426</v>
      </c>
      <c r="H37">
        <v>4726</v>
      </c>
      <c r="I37">
        <v>77</v>
      </c>
      <c r="J37">
        <v>3285.32</v>
      </c>
      <c r="K37">
        <f t="shared" si="0"/>
        <v>4.130180203799836E-2</v>
      </c>
      <c r="L37">
        <f t="shared" si="1"/>
        <v>0.92683664832839596</v>
      </c>
      <c r="M37">
        <f t="shared" si="2"/>
        <v>56.88610389610389</v>
      </c>
      <c r="N37">
        <f t="shared" si="3"/>
        <v>0.75003367403081589</v>
      </c>
      <c r="O37">
        <f t="shared" si="4"/>
        <v>-1094.9099999999994</v>
      </c>
      <c r="P37">
        <f t="shared" si="5"/>
        <v>-33.327347107739861</v>
      </c>
      <c r="Q37" s="4" t="str">
        <f t="shared" si="6"/>
        <v>2025-04</v>
      </c>
    </row>
    <row r="38" spans="1:17" x14ac:dyDescent="0.3">
      <c r="A38" t="s">
        <v>46</v>
      </c>
      <c r="B38" s="2">
        <v>45701</v>
      </c>
      <c r="C38" t="s">
        <v>511</v>
      </c>
      <c r="D38" t="s">
        <v>517</v>
      </c>
      <c r="E38">
        <v>4601.59</v>
      </c>
      <c r="F38">
        <v>3787.54</v>
      </c>
      <c r="G38">
        <v>78896</v>
      </c>
      <c r="H38">
        <v>1812</v>
      </c>
      <c r="I38">
        <v>219</v>
      </c>
      <c r="J38">
        <v>6283.67</v>
      </c>
      <c r="K38">
        <f t="shared" si="0"/>
        <v>2.2966943824781993E-2</v>
      </c>
      <c r="L38">
        <f t="shared" si="1"/>
        <v>2.0902538631346577</v>
      </c>
      <c r="M38">
        <f t="shared" si="2"/>
        <v>17.294703196347033</v>
      </c>
      <c r="N38">
        <f t="shared" si="3"/>
        <v>1.6590372642929183</v>
      </c>
      <c r="O38">
        <f t="shared" si="4"/>
        <v>2496.13</v>
      </c>
      <c r="P38">
        <f t="shared" si="5"/>
        <v>39.724078444603236</v>
      </c>
      <c r="Q38" s="4" t="str">
        <f t="shared" si="6"/>
        <v>2025-02</v>
      </c>
    </row>
    <row r="39" spans="1:17" x14ac:dyDescent="0.3">
      <c r="A39" t="s">
        <v>47</v>
      </c>
      <c r="B39" s="2">
        <v>45759</v>
      </c>
      <c r="C39" t="s">
        <v>512</v>
      </c>
      <c r="D39" t="s">
        <v>518</v>
      </c>
      <c r="E39">
        <v>4128.55</v>
      </c>
      <c r="F39">
        <v>4454.33</v>
      </c>
      <c r="G39">
        <v>114833</v>
      </c>
      <c r="H39">
        <v>5099</v>
      </c>
      <c r="I39">
        <v>70</v>
      </c>
      <c r="J39">
        <v>3097.05</v>
      </c>
      <c r="K39">
        <f t="shared" si="0"/>
        <v>4.4403612202067351E-2</v>
      </c>
      <c r="L39">
        <f t="shared" si="1"/>
        <v>0.87356932731908221</v>
      </c>
      <c r="M39">
        <f t="shared" si="2"/>
        <v>63.633285714285712</v>
      </c>
      <c r="N39">
        <f t="shared" si="3"/>
        <v>0.69528975176962649</v>
      </c>
      <c r="O39">
        <f t="shared" si="4"/>
        <v>-1357.2799999999997</v>
      </c>
      <c r="P39">
        <f t="shared" si="5"/>
        <v>-43.82493017548957</v>
      </c>
      <c r="Q39" s="4" t="str">
        <f t="shared" si="6"/>
        <v>2025-04</v>
      </c>
    </row>
    <row r="40" spans="1:17" x14ac:dyDescent="0.3">
      <c r="A40" t="s">
        <v>48</v>
      </c>
      <c r="B40" s="2">
        <v>45722</v>
      </c>
      <c r="C40" t="s">
        <v>511</v>
      </c>
      <c r="D40" t="s">
        <v>517</v>
      </c>
      <c r="E40">
        <v>7433.83</v>
      </c>
      <c r="F40">
        <v>7890.55</v>
      </c>
      <c r="G40">
        <v>86560</v>
      </c>
      <c r="H40">
        <v>3682</v>
      </c>
      <c r="I40">
        <v>609</v>
      </c>
      <c r="J40">
        <v>26863.09</v>
      </c>
      <c r="K40">
        <f t="shared" si="0"/>
        <v>4.2536968576709799E-2</v>
      </c>
      <c r="L40">
        <f t="shared" si="1"/>
        <v>2.1430065181966325</v>
      </c>
      <c r="M40">
        <f t="shared" si="2"/>
        <v>12.95656814449918</v>
      </c>
      <c r="N40">
        <f t="shared" si="3"/>
        <v>3.4044635671784604</v>
      </c>
      <c r="O40">
        <f t="shared" si="4"/>
        <v>18972.54</v>
      </c>
      <c r="P40">
        <f t="shared" si="5"/>
        <v>70.626796842805504</v>
      </c>
      <c r="Q40" s="4" t="str">
        <f t="shared" si="6"/>
        <v>2025-03</v>
      </c>
    </row>
    <row r="41" spans="1:17" x14ac:dyDescent="0.3">
      <c r="A41" t="s">
        <v>49</v>
      </c>
      <c r="B41" s="2">
        <v>45748</v>
      </c>
      <c r="C41" t="s">
        <v>512</v>
      </c>
      <c r="D41" t="s">
        <v>517</v>
      </c>
      <c r="E41">
        <v>4305.99</v>
      </c>
      <c r="F41">
        <v>4597.8</v>
      </c>
      <c r="G41">
        <v>74753</v>
      </c>
      <c r="H41">
        <v>1230</v>
      </c>
      <c r="I41">
        <v>234</v>
      </c>
      <c r="J41">
        <v>8466.18</v>
      </c>
      <c r="K41">
        <f t="shared" si="0"/>
        <v>1.6454189129533264E-2</v>
      </c>
      <c r="L41">
        <f t="shared" si="1"/>
        <v>3.7380487804878051</v>
      </c>
      <c r="M41">
        <f t="shared" si="2"/>
        <v>19.648717948717948</v>
      </c>
      <c r="N41">
        <f t="shared" si="3"/>
        <v>1.841354560876941</v>
      </c>
      <c r="O41">
        <f t="shared" si="4"/>
        <v>3868.38</v>
      </c>
      <c r="P41">
        <f t="shared" si="5"/>
        <v>45.692153958455876</v>
      </c>
      <c r="Q41" s="4" t="str">
        <f t="shared" si="6"/>
        <v>2025-04</v>
      </c>
    </row>
    <row r="42" spans="1:17" x14ac:dyDescent="0.3">
      <c r="A42" t="s">
        <v>50</v>
      </c>
      <c r="B42" s="2">
        <v>45701</v>
      </c>
      <c r="C42" t="s">
        <v>514</v>
      </c>
      <c r="D42" t="s">
        <v>518</v>
      </c>
      <c r="E42">
        <v>8652.08</v>
      </c>
      <c r="F42">
        <v>9247.58</v>
      </c>
      <c r="G42">
        <v>177534</v>
      </c>
      <c r="H42">
        <v>2754</v>
      </c>
      <c r="I42">
        <v>206</v>
      </c>
      <c r="J42">
        <v>6085.26</v>
      </c>
      <c r="K42">
        <f t="shared" si="0"/>
        <v>1.5512521545168812E-2</v>
      </c>
      <c r="L42">
        <f t="shared" si="1"/>
        <v>3.3578721859114014</v>
      </c>
      <c r="M42">
        <f t="shared" si="2"/>
        <v>44.891165048543691</v>
      </c>
      <c r="N42">
        <f t="shared" si="3"/>
        <v>0.65803810294152631</v>
      </c>
      <c r="O42">
        <f t="shared" si="4"/>
        <v>-3162.3199999999997</v>
      </c>
      <c r="P42">
        <f t="shared" si="5"/>
        <v>-51.966883912930584</v>
      </c>
      <c r="Q42" s="4" t="str">
        <f t="shared" si="6"/>
        <v>2025-02</v>
      </c>
    </row>
    <row r="43" spans="1:17" x14ac:dyDescent="0.3">
      <c r="A43" t="s">
        <v>51</v>
      </c>
      <c r="B43" s="2">
        <v>45671</v>
      </c>
      <c r="C43" t="s">
        <v>512</v>
      </c>
      <c r="D43" t="s">
        <v>517</v>
      </c>
      <c r="E43">
        <v>3770.36</v>
      </c>
      <c r="F43">
        <v>3274.11</v>
      </c>
      <c r="G43">
        <v>179996</v>
      </c>
      <c r="H43">
        <v>8814</v>
      </c>
      <c r="I43">
        <v>1350</v>
      </c>
      <c r="J43">
        <v>44297.87</v>
      </c>
      <c r="K43">
        <f t="shared" si="0"/>
        <v>4.8967754838996423E-2</v>
      </c>
      <c r="L43">
        <f t="shared" si="1"/>
        <v>0.37146698434309056</v>
      </c>
      <c r="M43">
        <f t="shared" si="2"/>
        <v>2.4252666666666669</v>
      </c>
      <c r="N43">
        <f t="shared" si="3"/>
        <v>13.529743960954274</v>
      </c>
      <c r="O43">
        <f t="shared" si="4"/>
        <v>41023.760000000002</v>
      </c>
      <c r="P43">
        <f t="shared" si="5"/>
        <v>92.608877131112621</v>
      </c>
      <c r="Q43" s="4" t="str">
        <f t="shared" si="6"/>
        <v>2025-01</v>
      </c>
    </row>
    <row r="44" spans="1:17" x14ac:dyDescent="0.3">
      <c r="A44" t="s">
        <v>52</v>
      </c>
      <c r="B44" s="2">
        <v>45642</v>
      </c>
      <c r="C44" t="s">
        <v>512</v>
      </c>
      <c r="D44" t="s">
        <v>515</v>
      </c>
      <c r="E44">
        <v>8726.1</v>
      </c>
      <c r="F44">
        <v>9234.1299999999992</v>
      </c>
      <c r="G44">
        <v>169629</v>
      </c>
      <c r="H44">
        <v>5933</v>
      </c>
      <c r="I44">
        <v>149</v>
      </c>
      <c r="J44">
        <v>3011.08</v>
      </c>
      <c r="K44">
        <f t="shared" si="0"/>
        <v>3.4976330698170716E-2</v>
      </c>
      <c r="L44">
        <f t="shared" si="1"/>
        <v>1.5564014832293949</v>
      </c>
      <c r="M44">
        <f t="shared" si="2"/>
        <v>61.974026845637582</v>
      </c>
      <c r="N44">
        <f t="shared" si="3"/>
        <v>0.32608161245293277</v>
      </c>
      <c r="O44">
        <f t="shared" si="4"/>
        <v>-6223.0499999999993</v>
      </c>
      <c r="P44">
        <f t="shared" si="5"/>
        <v>-206.67169254885289</v>
      </c>
      <c r="Q44" s="4" t="str">
        <f t="shared" si="6"/>
        <v>2024-12</v>
      </c>
    </row>
    <row r="45" spans="1:17" x14ac:dyDescent="0.3">
      <c r="A45" t="s">
        <v>53</v>
      </c>
      <c r="B45" s="2">
        <v>45763</v>
      </c>
      <c r="C45" t="s">
        <v>513</v>
      </c>
      <c r="D45" t="s">
        <v>515</v>
      </c>
      <c r="E45">
        <v>6575.23</v>
      </c>
      <c r="F45">
        <v>6083.56</v>
      </c>
      <c r="G45">
        <v>103534</v>
      </c>
      <c r="H45">
        <v>3406</v>
      </c>
      <c r="I45">
        <v>219</v>
      </c>
      <c r="J45">
        <v>5839.25</v>
      </c>
      <c r="K45">
        <f t="shared" si="0"/>
        <v>3.2897405683157223E-2</v>
      </c>
      <c r="L45">
        <f t="shared" si="1"/>
        <v>1.786130358191427</v>
      </c>
      <c r="M45">
        <f t="shared" si="2"/>
        <v>27.77881278538813</v>
      </c>
      <c r="N45">
        <f t="shared" si="3"/>
        <v>0.9598409483920598</v>
      </c>
      <c r="O45">
        <f t="shared" si="4"/>
        <v>-244.3100000000004</v>
      </c>
      <c r="P45">
        <f t="shared" si="5"/>
        <v>-4.1839277304448412</v>
      </c>
      <c r="Q45" s="4" t="str">
        <f t="shared" si="6"/>
        <v>2025-04</v>
      </c>
    </row>
    <row r="46" spans="1:17" x14ac:dyDescent="0.3">
      <c r="A46" t="s">
        <v>54</v>
      </c>
      <c r="B46" s="2">
        <v>45785</v>
      </c>
      <c r="C46" t="s">
        <v>512</v>
      </c>
      <c r="D46" t="s">
        <v>516</v>
      </c>
      <c r="E46">
        <v>3839.06</v>
      </c>
      <c r="F46">
        <v>3460.09</v>
      </c>
      <c r="G46">
        <v>157185</v>
      </c>
      <c r="H46">
        <v>1409</v>
      </c>
      <c r="I46">
        <v>97</v>
      </c>
      <c r="J46">
        <v>4683.87</v>
      </c>
      <c r="K46">
        <f t="shared" si="0"/>
        <v>8.9639596653624705E-3</v>
      </c>
      <c r="L46">
        <f t="shared" si="1"/>
        <v>2.4557061745919091</v>
      </c>
      <c r="M46">
        <f t="shared" si="2"/>
        <v>35.671030927835055</v>
      </c>
      <c r="N46">
        <f t="shared" si="3"/>
        <v>1.3536844417341745</v>
      </c>
      <c r="O46">
        <f t="shared" si="4"/>
        <v>1223.7799999999997</v>
      </c>
      <c r="P46">
        <f t="shared" si="5"/>
        <v>26.127539833513737</v>
      </c>
      <c r="Q46" s="4" t="str">
        <f t="shared" si="6"/>
        <v>2025-05</v>
      </c>
    </row>
    <row r="47" spans="1:17" x14ac:dyDescent="0.3">
      <c r="A47" t="s">
        <v>55</v>
      </c>
      <c r="B47" s="2">
        <v>45797</v>
      </c>
      <c r="C47" t="s">
        <v>512</v>
      </c>
      <c r="D47" t="s">
        <v>516</v>
      </c>
      <c r="E47">
        <v>5262.42</v>
      </c>
      <c r="F47">
        <v>5028.96</v>
      </c>
      <c r="G47">
        <v>114793</v>
      </c>
      <c r="H47">
        <v>4639</v>
      </c>
      <c r="I47">
        <v>463</v>
      </c>
      <c r="J47">
        <v>19024.93</v>
      </c>
      <c r="K47">
        <f t="shared" si="0"/>
        <v>4.0411871804029866E-2</v>
      </c>
      <c r="L47">
        <f t="shared" si="1"/>
        <v>1.0840612200905368</v>
      </c>
      <c r="M47">
        <f t="shared" si="2"/>
        <v>10.861684665226782</v>
      </c>
      <c r="N47">
        <f t="shared" si="3"/>
        <v>3.7830744328847317</v>
      </c>
      <c r="O47">
        <f t="shared" si="4"/>
        <v>13995.970000000001</v>
      </c>
      <c r="P47">
        <f t="shared" si="5"/>
        <v>73.566473043527623</v>
      </c>
      <c r="Q47" s="4" t="str">
        <f t="shared" si="6"/>
        <v>2025-05</v>
      </c>
    </row>
    <row r="48" spans="1:17" x14ac:dyDescent="0.3">
      <c r="A48" t="s">
        <v>56</v>
      </c>
      <c r="B48" s="2">
        <v>45662</v>
      </c>
      <c r="C48" t="s">
        <v>510</v>
      </c>
      <c r="D48" t="s">
        <v>518</v>
      </c>
      <c r="E48">
        <v>5545.41</v>
      </c>
      <c r="F48">
        <v>6053.01</v>
      </c>
      <c r="G48">
        <v>175219</v>
      </c>
      <c r="H48">
        <v>4802</v>
      </c>
      <c r="I48">
        <v>292</v>
      </c>
      <c r="J48">
        <v>14271.04</v>
      </c>
      <c r="K48">
        <f t="shared" si="0"/>
        <v>2.7405703719345503E-2</v>
      </c>
      <c r="L48">
        <f t="shared" si="1"/>
        <v>1.26051853394419</v>
      </c>
      <c r="M48">
        <f t="shared" si="2"/>
        <v>20.729486301369864</v>
      </c>
      <c r="N48">
        <f t="shared" si="3"/>
        <v>2.3576765939590385</v>
      </c>
      <c r="O48">
        <f t="shared" si="4"/>
        <v>8218.0300000000007</v>
      </c>
      <c r="P48">
        <f t="shared" si="5"/>
        <v>57.58536168352132</v>
      </c>
      <c r="Q48" s="4" t="str">
        <f t="shared" si="6"/>
        <v>2025-01</v>
      </c>
    </row>
    <row r="49" spans="1:17" x14ac:dyDescent="0.3">
      <c r="A49" t="s">
        <v>57</v>
      </c>
      <c r="B49" s="2">
        <v>45726</v>
      </c>
      <c r="C49" t="s">
        <v>512</v>
      </c>
      <c r="D49" t="s">
        <v>517</v>
      </c>
      <c r="E49">
        <v>4762.4799999999996</v>
      </c>
      <c r="F49">
        <v>4520.42</v>
      </c>
      <c r="G49">
        <v>100064</v>
      </c>
      <c r="H49">
        <v>1424</v>
      </c>
      <c r="I49">
        <v>261</v>
      </c>
      <c r="J49">
        <v>7575.88</v>
      </c>
      <c r="K49">
        <f t="shared" si="0"/>
        <v>1.4230892228973457E-2</v>
      </c>
      <c r="L49">
        <f t="shared" si="1"/>
        <v>3.1744522471910113</v>
      </c>
      <c r="M49">
        <f t="shared" si="2"/>
        <v>17.319616858237548</v>
      </c>
      <c r="N49">
        <f t="shared" si="3"/>
        <v>1.6759239185739379</v>
      </c>
      <c r="O49">
        <f t="shared" si="4"/>
        <v>3055.46</v>
      </c>
      <c r="P49">
        <f t="shared" si="5"/>
        <v>40.331420244248847</v>
      </c>
      <c r="Q49" s="4" t="str">
        <f t="shared" si="6"/>
        <v>2025-03</v>
      </c>
    </row>
    <row r="50" spans="1:17" x14ac:dyDescent="0.3">
      <c r="A50" t="s">
        <v>58</v>
      </c>
      <c r="B50" s="2">
        <v>45693</v>
      </c>
      <c r="C50" t="s">
        <v>511</v>
      </c>
      <c r="D50" t="s">
        <v>517</v>
      </c>
      <c r="E50">
        <v>4993.88</v>
      </c>
      <c r="F50">
        <v>4050.37</v>
      </c>
      <c r="G50">
        <v>61208</v>
      </c>
      <c r="H50">
        <v>3037</v>
      </c>
      <c r="I50">
        <v>504</v>
      </c>
      <c r="J50">
        <v>19296.61</v>
      </c>
      <c r="K50">
        <f t="shared" si="0"/>
        <v>4.9617697033067572E-2</v>
      </c>
      <c r="L50">
        <f t="shared" si="1"/>
        <v>1.3336746789594995</v>
      </c>
      <c r="M50">
        <f t="shared" si="2"/>
        <v>8.0364484126984124</v>
      </c>
      <c r="N50">
        <f t="shared" si="3"/>
        <v>4.7641598174981548</v>
      </c>
      <c r="O50">
        <f t="shared" si="4"/>
        <v>15246.240000000002</v>
      </c>
      <c r="P50">
        <f t="shared" si="5"/>
        <v>79.009940087922175</v>
      </c>
      <c r="Q50" s="4" t="str">
        <f t="shared" si="6"/>
        <v>2025-02</v>
      </c>
    </row>
    <row r="51" spans="1:17" x14ac:dyDescent="0.3">
      <c r="A51" t="s">
        <v>59</v>
      </c>
      <c r="B51" s="2">
        <v>45806</v>
      </c>
      <c r="C51" t="s">
        <v>513</v>
      </c>
      <c r="D51" t="s">
        <v>517</v>
      </c>
      <c r="E51">
        <v>6518.75</v>
      </c>
      <c r="F51">
        <v>5315.67</v>
      </c>
      <c r="G51">
        <v>64306</v>
      </c>
      <c r="H51">
        <v>2956</v>
      </c>
      <c r="I51">
        <v>50</v>
      </c>
      <c r="J51">
        <v>1417.97</v>
      </c>
      <c r="K51">
        <f t="shared" si="0"/>
        <v>4.5967716853792806E-2</v>
      </c>
      <c r="L51">
        <f t="shared" si="1"/>
        <v>1.7982645466847091</v>
      </c>
      <c r="M51">
        <f t="shared" si="2"/>
        <v>106.3134</v>
      </c>
      <c r="N51">
        <f t="shared" si="3"/>
        <v>0.26675282701898351</v>
      </c>
      <c r="O51">
        <f t="shared" si="4"/>
        <v>-3897.7</v>
      </c>
      <c r="P51">
        <f t="shared" si="5"/>
        <v>-274.87887613983372</v>
      </c>
      <c r="Q51" s="4" t="str">
        <f t="shared" si="6"/>
        <v>2025-05</v>
      </c>
    </row>
    <row r="52" spans="1:17" x14ac:dyDescent="0.3">
      <c r="A52" t="s">
        <v>60</v>
      </c>
      <c r="B52" s="2">
        <v>45780</v>
      </c>
      <c r="C52" t="s">
        <v>513</v>
      </c>
      <c r="D52" t="s">
        <v>516</v>
      </c>
      <c r="E52">
        <v>9357.86</v>
      </c>
      <c r="F52">
        <v>8158.82</v>
      </c>
      <c r="G52">
        <v>160805</v>
      </c>
      <c r="H52">
        <v>1964</v>
      </c>
      <c r="I52">
        <v>323</v>
      </c>
      <c r="J52">
        <v>7864.03</v>
      </c>
      <c r="K52">
        <f t="shared" si="0"/>
        <v>1.2213550573676192E-2</v>
      </c>
      <c r="L52">
        <f t="shared" si="1"/>
        <v>4.1541853360488794</v>
      </c>
      <c r="M52">
        <f t="shared" si="2"/>
        <v>25.259504643962849</v>
      </c>
      <c r="N52">
        <f t="shared" si="3"/>
        <v>0.96386854961869484</v>
      </c>
      <c r="O52">
        <f t="shared" si="4"/>
        <v>-294.78999999999996</v>
      </c>
      <c r="P52">
        <f t="shared" si="5"/>
        <v>-3.7485869204466407</v>
      </c>
      <c r="Q52" s="4" t="str">
        <f t="shared" si="6"/>
        <v>2025-05</v>
      </c>
    </row>
    <row r="53" spans="1:17" x14ac:dyDescent="0.3">
      <c r="A53" t="s">
        <v>61</v>
      </c>
      <c r="B53" s="2">
        <v>45727</v>
      </c>
      <c r="C53" t="s">
        <v>512</v>
      </c>
      <c r="D53" t="s">
        <v>516</v>
      </c>
      <c r="E53">
        <v>6426.17</v>
      </c>
      <c r="F53">
        <v>7041.12</v>
      </c>
      <c r="G53">
        <v>169372</v>
      </c>
      <c r="H53">
        <v>2478</v>
      </c>
      <c r="I53">
        <v>264</v>
      </c>
      <c r="J53">
        <v>7197.08</v>
      </c>
      <c r="K53">
        <f t="shared" si="0"/>
        <v>1.4630517440899321E-2</v>
      </c>
      <c r="L53">
        <f t="shared" si="1"/>
        <v>2.8414527845036317</v>
      </c>
      <c r="M53">
        <f t="shared" si="2"/>
        <v>26.670909090909092</v>
      </c>
      <c r="N53">
        <f t="shared" si="3"/>
        <v>1.0221498852455291</v>
      </c>
      <c r="O53">
        <f t="shared" si="4"/>
        <v>155.96000000000004</v>
      </c>
      <c r="P53">
        <f t="shared" si="5"/>
        <v>2.1669899459225137</v>
      </c>
      <c r="Q53" s="4" t="str">
        <f t="shared" si="6"/>
        <v>2025-03</v>
      </c>
    </row>
    <row r="54" spans="1:17" x14ac:dyDescent="0.3">
      <c r="A54" t="s">
        <v>62</v>
      </c>
      <c r="B54" s="2">
        <v>45667</v>
      </c>
      <c r="C54" t="s">
        <v>511</v>
      </c>
      <c r="D54" t="s">
        <v>516</v>
      </c>
      <c r="E54">
        <v>7704.95</v>
      </c>
      <c r="F54">
        <v>7924.43</v>
      </c>
      <c r="G54">
        <v>77537</v>
      </c>
      <c r="H54">
        <v>3060</v>
      </c>
      <c r="I54">
        <v>221</v>
      </c>
      <c r="J54">
        <v>5995.54</v>
      </c>
      <c r="K54">
        <f t="shared" si="0"/>
        <v>3.9465029598772197E-2</v>
      </c>
      <c r="L54">
        <f t="shared" si="1"/>
        <v>2.5896830065359477</v>
      </c>
      <c r="M54">
        <f t="shared" si="2"/>
        <v>35.857149321266967</v>
      </c>
      <c r="N54">
        <f t="shared" si="3"/>
        <v>0.7565894329308227</v>
      </c>
      <c r="O54">
        <f t="shared" si="4"/>
        <v>-1928.8900000000003</v>
      </c>
      <c r="P54">
        <f t="shared" si="5"/>
        <v>-32.172081247060319</v>
      </c>
      <c r="Q54" s="4" t="str">
        <f t="shared" si="6"/>
        <v>2025-01</v>
      </c>
    </row>
    <row r="55" spans="1:17" x14ac:dyDescent="0.3">
      <c r="A55" t="s">
        <v>63</v>
      </c>
      <c r="B55" s="2">
        <v>45682</v>
      </c>
      <c r="C55" t="s">
        <v>512</v>
      </c>
      <c r="D55" t="s">
        <v>515</v>
      </c>
      <c r="E55">
        <v>8097.51</v>
      </c>
      <c r="F55">
        <v>7371.45</v>
      </c>
      <c r="G55">
        <v>111631</v>
      </c>
      <c r="H55">
        <v>2469</v>
      </c>
      <c r="I55">
        <v>139</v>
      </c>
      <c r="J55">
        <v>5416.72</v>
      </c>
      <c r="K55">
        <f t="shared" si="0"/>
        <v>2.2117512160600549E-2</v>
      </c>
      <c r="L55">
        <f t="shared" si="1"/>
        <v>2.9856014580801942</v>
      </c>
      <c r="M55">
        <f t="shared" si="2"/>
        <v>53.032014388489209</v>
      </c>
      <c r="N55">
        <f t="shared" si="3"/>
        <v>0.7348242204722274</v>
      </c>
      <c r="O55">
        <f t="shared" si="4"/>
        <v>-1954.7299999999996</v>
      </c>
      <c r="P55">
        <f t="shared" si="5"/>
        <v>-36.086967759086669</v>
      </c>
      <c r="Q55" s="4" t="str">
        <f t="shared" si="6"/>
        <v>2025-01</v>
      </c>
    </row>
    <row r="56" spans="1:17" x14ac:dyDescent="0.3">
      <c r="A56" t="s">
        <v>64</v>
      </c>
      <c r="B56" s="2">
        <v>45674</v>
      </c>
      <c r="C56" t="s">
        <v>510</v>
      </c>
      <c r="D56" t="s">
        <v>515</v>
      </c>
      <c r="E56">
        <v>7434.71</v>
      </c>
      <c r="F56">
        <v>7142.77</v>
      </c>
      <c r="G56">
        <v>102718</v>
      </c>
      <c r="H56">
        <v>2206</v>
      </c>
      <c r="I56">
        <v>152</v>
      </c>
      <c r="J56">
        <v>3451.72</v>
      </c>
      <c r="K56">
        <f t="shared" si="0"/>
        <v>2.1476274849588192E-2</v>
      </c>
      <c r="L56">
        <f t="shared" si="1"/>
        <v>3.2378830462375343</v>
      </c>
      <c r="M56">
        <f t="shared" si="2"/>
        <v>46.991907894736848</v>
      </c>
      <c r="N56">
        <f t="shared" si="3"/>
        <v>0.48324669560968636</v>
      </c>
      <c r="O56">
        <f t="shared" si="4"/>
        <v>-3691.0500000000006</v>
      </c>
      <c r="P56">
        <f t="shared" si="5"/>
        <v>-106.93364467569795</v>
      </c>
      <c r="Q56" s="4" t="str">
        <f t="shared" si="6"/>
        <v>2025-01</v>
      </c>
    </row>
    <row r="57" spans="1:17" x14ac:dyDescent="0.3">
      <c r="A57" t="s">
        <v>65</v>
      </c>
      <c r="B57" s="2">
        <v>45684</v>
      </c>
      <c r="C57" t="s">
        <v>513</v>
      </c>
      <c r="D57" t="s">
        <v>515</v>
      </c>
      <c r="E57">
        <v>8847.1200000000008</v>
      </c>
      <c r="F57">
        <v>7929.09</v>
      </c>
      <c r="G57">
        <v>79647</v>
      </c>
      <c r="H57">
        <v>2287</v>
      </c>
      <c r="I57">
        <v>311</v>
      </c>
      <c r="J57">
        <v>7960.22</v>
      </c>
      <c r="K57">
        <f t="shared" si="0"/>
        <v>2.8714201413738118E-2</v>
      </c>
      <c r="L57">
        <f t="shared" si="1"/>
        <v>3.4670266724967207</v>
      </c>
      <c r="M57">
        <f t="shared" si="2"/>
        <v>25.495466237942122</v>
      </c>
      <c r="N57">
        <f t="shared" si="3"/>
        <v>1.0039260495214457</v>
      </c>
      <c r="O57">
        <f t="shared" si="4"/>
        <v>31.130000000000109</v>
      </c>
      <c r="P57">
        <f t="shared" si="5"/>
        <v>0.39106959355394832</v>
      </c>
      <c r="Q57" s="4" t="str">
        <f t="shared" si="6"/>
        <v>2025-01</v>
      </c>
    </row>
    <row r="58" spans="1:17" x14ac:dyDescent="0.3">
      <c r="A58" t="s">
        <v>66</v>
      </c>
      <c r="B58" s="2">
        <v>45704</v>
      </c>
      <c r="C58" t="s">
        <v>511</v>
      </c>
      <c r="D58" t="s">
        <v>517</v>
      </c>
      <c r="E58">
        <v>3285.43</v>
      </c>
      <c r="F58">
        <v>3210.75</v>
      </c>
      <c r="G58">
        <v>155333</v>
      </c>
      <c r="H58">
        <v>2501</v>
      </c>
      <c r="I58">
        <v>402</v>
      </c>
      <c r="J58">
        <v>16211.43</v>
      </c>
      <c r="K58">
        <f t="shared" si="0"/>
        <v>1.6100892920371073E-2</v>
      </c>
      <c r="L58">
        <f t="shared" si="1"/>
        <v>1.2837864854058376</v>
      </c>
      <c r="M58">
        <f t="shared" si="2"/>
        <v>7.9869402985074629</v>
      </c>
      <c r="N58">
        <f t="shared" si="3"/>
        <v>5.0491100210231252</v>
      </c>
      <c r="O58">
        <f t="shared" si="4"/>
        <v>13000.68</v>
      </c>
      <c r="P58">
        <f t="shared" si="5"/>
        <v>80.194529415356939</v>
      </c>
      <c r="Q58" s="4" t="str">
        <f t="shared" si="6"/>
        <v>2025-02</v>
      </c>
    </row>
    <row r="59" spans="1:17" x14ac:dyDescent="0.3">
      <c r="A59" t="s">
        <v>67</v>
      </c>
      <c r="B59" s="2">
        <v>45772</v>
      </c>
      <c r="C59" t="s">
        <v>513</v>
      </c>
      <c r="D59" t="s">
        <v>515</v>
      </c>
      <c r="E59">
        <v>3116.11</v>
      </c>
      <c r="F59">
        <v>2971.61</v>
      </c>
      <c r="G59">
        <v>81389</v>
      </c>
      <c r="H59">
        <v>3140</v>
      </c>
      <c r="I59">
        <v>392</v>
      </c>
      <c r="J59">
        <v>10503.59</v>
      </c>
      <c r="K59">
        <f t="shared" si="0"/>
        <v>3.8580152109007358E-2</v>
      </c>
      <c r="L59">
        <f t="shared" si="1"/>
        <v>0.94637261146496821</v>
      </c>
      <c r="M59">
        <f t="shared" si="2"/>
        <v>7.5806377551020407</v>
      </c>
      <c r="N59">
        <f t="shared" si="3"/>
        <v>3.5346462018905576</v>
      </c>
      <c r="O59">
        <f t="shared" si="4"/>
        <v>7531.98</v>
      </c>
      <c r="P59">
        <f t="shared" si="5"/>
        <v>71.708625336670593</v>
      </c>
      <c r="Q59" s="4" t="str">
        <f t="shared" si="6"/>
        <v>2025-04</v>
      </c>
    </row>
    <row r="60" spans="1:17" x14ac:dyDescent="0.3">
      <c r="A60" t="s">
        <v>68</v>
      </c>
      <c r="B60" s="2">
        <v>45769</v>
      </c>
      <c r="C60" t="s">
        <v>514</v>
      </c>
      <c r="D60" t="s">
        <v>517</v>
      </c>
      <c r="E60">
        <v>7516.21</v>
      </c>
      <c r="F60">
        <v>6406.14</v>
      </c>
      <c r="G60">
        <v>146743</v>
      </c>
      <c r="H60">
        <v>3193</v>
      </c>
      <c r="I60">
        <v>385</v>
      </c>
      <c r="J60">
        <v>15680.33</v>
      </c>
      <c r="K60">
        <f t="shared" si="0"/>
        <v>2.175912990738911E-2</v>
      </c>
      <c r="L60">
        <f t="shared" si="1"/>
        <v>2.0063075477607266</v>
      </c>
      <c r="M60">
        <f t="shared" si="2"/>
        <v>16.639324675324676</v>
      </c>
      <c r="N60">
        <f t="shared" si="3"/>
        <v>2.4477032971492974</v>
      </c>
      <c r="O60">
        <f t="shared" si="4"/>
        <v>9274.1899999999987</v>
      </c>
      <c r="P60">
        <f t="shared" si="5"/>
        <v>59.145375129222401</v>
      </c>
      <c r="Q60" s="4" t="str">
        <f t="shared" si="6"/>
        <v>2025-04</v>
      </c>
    </row>
    <row r="61" spans="1:17" x14ac:dyDescent="0.3">
      <c r="A61" t="s">
        <v>69</v>
      </c>
      <c r="B61" s="2">
        <v>45747</v>
      </c>
      <c r="C61" t="s">
        <v>513</v>
      </c>
      <c r="D61" t="s">
        <v>517</v>
      </c>
      <c r="E61">
        <v>5707.15</v>
      </c>
      <c r="F61">
        <v>6169.54</v>
      </c>
      <c r="G61">
        <v>121778</v>
      </c>
      <c r="H61">
        <v>2381</v>
      </c>
      <c r="I61">
        <v>316</v>
      </c>
      <c r="J61">
        <v>7623.7</v>
      </c>
      <c r="K61">
        <f t="shared" si="0"/>
        <v>1.9551971620489744E-2</v>
      </c>
      <c r="L61">
        <f t="shared" si="1"/>
        <v>2.5911549769004618</v>
      </c>
      <c r="M61">
        <f t="shared" si="2"/>
        <v>19.523860759493672</v>
      </c>
      <c r="N61">
        <f t="shared" si="3"/>
        <v>1.2356999063139229</v>
      </c>
      <c r="O61">
        <f t="shared" si="4"/>
        <v>1454.1599999999999</v>
      </c>
      <c r="P61">
        <f t="shared" si="5"/>
        <v>19.074202814906148</v>
      </c>
      <c r="Q61" s="4" t="str">
        <f t="shared" si="6"/>
        <v>2025-03</v>
      </c>
    </row>
    <row r="62" spans="1:17" x14ac:dyDescent="0.3">
      <c r="A62" t="s">
        <v>70</v>
      </c>
      <c r="B62" s="2">
        <v>45645</v>
      </c>
      <c r="C62" t="s">
        <v>511</v>
      </c>
      <c r="D62" t="s">
        <v>515</v>
      </c>
      <c r="E62">
        <v>5387.46</v>
      </c>
      <c r="F62">
        <v>4493.37</v>
      </c>
      <c r="G62">
        <v>145652</v>
      </c>
      <c r="H62">
        <v>3086</v>
      </c>
      <c r="I62">
        <v>536</v>
      </c>
      <c r="J62">
        <v>25589.07</v>
      </c>
      <c r="K62">
        <f t="shared" si="0"/>
        <v>2.1187487985060281E-2</v>
      </c>
      <c r="L62">
        <f t="shared" si="1"/>
        <v>1.456049902786779</v>
      </c>
      <c r="M62">
        <f t="shared" si="2"/>
        <v>8.3831529850746271</v>
      </c>
      <c r="N62">
        <f t="shared" si="3"/>
        <v>5.6948504129417339</v>
      </c>
      <c r="O62">
        <f t="shared" si="4"/>
        <v>21095.7</v>
      </c>
      <c r="P62">
        <f t="shared" si="5"/>
        <v>82.440276258574457</v>
      </c>
      <c r="Q62" s="4" t="str">
        <f t="shared" si="6"/>
        <v>2024-12</v>
      </c>
    </row>
    <row r="63" spans="1:17" x14ac:dyDescent="0.3">
      <c r="A63" t="s">
        <v>71</v>
      </c>
      <c r="B63" s="2">
        <v>45710</v>
      </c>
      <c r="C63" t="s">
        <v>511</v>
      </c>
      <c r="D63" t="s">
        <v>516</v>
      </c>
      <c r="E63">
        <v>9141.3799999999992</v>
      </c>
      <c r="F63">
        <v>8020.49</v>
      </c>
      <c r="G63">
        <v>80391</v>
      </c>
      <c r="H63">
        <v>1900</v>
      </c>
      <c r="I63">
        <v>189</v>
      </c>
      <c r="J63">
        <v>7522.11</v>
      </c>
      <c r="K63">
        <f t="shared" si="0"/>
        <v>2.3634486447487904E-2</v>
      </c>
      <c r="L63">
        <f t="shared" si="1"/>
        <v>4.2213105263157891</v>
      </c>
      <c r="M63">
        <f t="shared" si="2"/>
        <v>42.436455026455022</v>
      </c>
      <c r="N63">
        <f t="shared" si="3"/>
        <v>0.93786165184421399</v>
      </c>
      <c r="O63">
        <f t="shared" si="4"/>
        <v>-498.38000000000011</v>
      </c>
      <c r="P63">
        <f t="shared" si="5"/>
        <v>-6.625534590693305</v>
      </c>
      <c r="Q63" s="4" t="str">
        <f t="shared" si="6"/>
        <v>2025-02</v>
      </c>
    </row>
    <row r="64" spans="1:17" x14ac:dyDescent="0.3">
      <c r="A64" t="s">
        <v>72</v>
      </c>
      <c r="B64" s="2">
        <v>45717</v>
      </c>
      <c r="C64" t="s">
        <v>512</v>
      </c>
      <c r="D64" t="s">
        <v>515</v>
      </c>
      <c r="E64">
        <v>8720.56</v>
      </c>
      <c r="F64">
        <v>8428.9500000000007</v>
      </c>
      <c r="G64">
        <v>136864</v>
      </c>
      <c r="H64">
        <v>3696</v>
      </c>
      <c r="I64">
        <v>599</v>
      </c>
      <c r="J64">
        <v>21497.82</v>
      </c>
      <c r="K64">
        <f t="shared" si="0"/>
        <v>2.7004909983633387E-2</v>
      </c>
      <c r="L64">
        <f t="shared" si="1"/>
        <v>2.2805600649350652</v>
      </c>
      <c r="M64">
        <f t="shared" si="2"/>
        <v>14.071702838063441</v>
      </c>
      <c r="N64">
        <f t="shared" si="3"/>
        <v>2.5504742583595821</v>
      </c>
      <c r="O64">
        <f t="shared" si="4"/>
        <v>13068.869999999999</v>
      </c>
      <c r="P64">
        <f t="shared" si="5"/>
        <v>60.79160584654629</v>
      </c>
      <c r="Q64" s="4" t="str">
        <f t="shared" si="6"/>
        <v>2025-03</v>
      </c>
    </row>
    <row r="65" spans="1:17" x14ac:dyDescent="0.3">
      <c r="A65" t="s">
        <v>73</v>
      </c>
      <c r="B65" s="2">
        <v>45805</v>
      </c>
      <c r="C65" t="s">
        <v>512</v>
      </c>
      <c r="D65" t="s">
        <v>516</v>
      </c>
      <c r="E65">
        <v>4692.97</v>
      </c>
      <c r="F65">
        <v>3885.45</v>
      </c>
      <c r="G65">
        <v>135649</v>
      </c>
      <c r="H65">
        <v>5567</v>
      </c>
      <c r="I65">
        <v>914</v>
      </c>
      <c r="J65">
        <v>42881.66</v>
      </c>
      <c r="K65">
        <f t="shared" si="0"/>
        <v>4.1039742276021203E-2</v>
      </c>
      <c r="L65">
        <f t="shared" si="1"/>
        <v>0.69794323693192017</v>
      </c>
      <c r="M65">
        <f t="shared" si="2"/>
        <v>4.2510393873085341</v>
      </c>
      <c r="N65">
        <f t="shared" si="3"/>
        <v>11.036471965924154</v>
      </c>
      <c r="O65">
        <f t="shared" si="4"/>
        <v>38996.210000000006</v>
      </c>
      <c r="P65">
        <f t="shared" si="5"/>
        <v>90.939133419741694</v>
      </c>
      <c r="Q65" s="4" t="str">
        <f t="shared" si="6"/>
        <v>2025-05</v>
      </c>
    </row>
    <row r="66" spans="1:17" x14ac:dyDescent="0.3">
      <c r="A66" t="s">
        <v>74</v>
      </c>
      <c r="B66" s="2">
        <v>45734</v>
      </c>
      <c r="C66" t="s">
        <v>513</v>
      </c>
      <c r="D66" t="s">
        <v>517</v>
      </c>
      <c r="E66">
        <v>9302.93</v>
      </c>
      <c r="F66">
        <v>9209.25</v>
      </c>
      <c r="G66">
        <v>75522</v>
      </c>
      <c r="H66">
        <v>1938</v>
      </c>
      <c r="I66">
        <v>231</v>
      </c>
      <c r="J66">
        <v>6969.48</v>
      </c>
      <c r="K66">
        <f t="shared" si="0"/>
        <v>2.5661396679113369E-2</v>
      </c>
      <c r="L66">
        <f t="shared" si="1"/>
        <v>4.7519349845201235</v>
      </c>
      <c r="M66">
        <f t="shared" si="2"/>
        <v>39.866883116883116</v>
      </c>
      <c r="N66">
        <f t="shared" si="3"/>
        <v>0.75679126964736543</v>
      </c>
      <c r="O66">
        <f t="shared" si="4"/>
        <v>-2239.7700000000004</v>
      </c>
      <c r="P66">
        <f t="shared" si="5"/>
        <v>-32.136830868300081</v>
      </c>
      <c r="Q66" s="4" t="str">
        <f t="shared" si="6"/>
        <v>2025-03</v>
      </c>
    </row>
    <row r="67" spans="1:17" x14ac:dyDescent="0.3">
      <c r="A67" t="s">
        <v>75</v>
      </c>
      <c r="B67" s="2">
        <v>45654</v>
      </c>
      <c r="C67" t="s">
        <v>513</v>
      </c>
      <c r="D67" t="s">
        <v>517</v>
      </c>
      <c r="E67">
        <v>5444.47</v>
      </c>
      <c r="F67">
        <v>5541.31</v>
      </c>
      <c r="G67">
        <v>180933</v>
      </c>
      <c r="H67">
        <v>2435</v>
      </c>
      <c r="I67">
        <v>256</v>
      </c>
      <c r="J67">
        <v>12009.81</v>
      </c>
      <c r="K67">
        <f t="shared" ref="K67:K130" si="7">H67/G67</f>
        <v>1.3458020372181969E-2</v>
      </c>
      <c r="L67">
        <f t="shared" ref="L67:L130" si="8">F67/H67</f>
        <v>2.2756919917864478</v>
      </c>
      <c r="M67">
        <f t="shared" ref="M67:M130" si="9">F67/I67</f>
        <v>21.645742187500002</v>
      </c>
      <c r="N67">
        <f t="shared" ref="N67:N130" si="10">J67/F67</f>
        <v>2.1673232502783635</v>
      </c>
      <c r="O67">
        <f t="shared" ref="O67:O130" si="11">J67-F67</f>
        <v>6468.4999999999991</v>
      </c>
      <c r="P67">
        <f t="shared" ref="P67:P130" si="12">(O67/J67)*100</f>
        <v>53.860136005482182</v>
      </c>
      <c r="Q67" s="4" t="str">
        <f t="shared" ref="Q67:Q130" si="13">TEXT(B67,"yyyy-mm")</f>
        <v>2024-12</v>
      </c>
    </row>
    <row r="68" spans="1:17" x14ac:dyDescent="0.3">
      <c r="A68" t="s">
        <v>76</v>
      </c>
      <c r="B68" s="2">
        <v>45757</v>
      </c>
      <c r="C68" t="s">
        <v>514</v>
      </c>
      <c r="D68" t="s">
        <v>516</v>
      </c>
      <c r="E68">
        <v>9209.6</v>
      </c>
      <c r="F68">
        <v>9522.3799999999992</v>
      </c>
      <c r="G68">
        <v>130681</v>
      </c>
      <c r="H68">
        <v>5935</v>
      </c>
      <c r="I68">
        <v>667</v>
      </c>
      <c r="J68">
        <v>26187.05</v>
      </c>
      <c r="K68">
        <f t="shared" si="7"/>
        <v>4.5415936517167757E-2</v>
      </c>
      <c r="L68">
        <f t="shared" si="8"/>
        <v>1.6044448188711036</v>
      </c>
      <c r="M68">
        <f t="shared" si="9"/>
        <v>14.276431784107945</v>
      </c>
      <c r="N68">
        <f t="shared" si="10"/>
        <v>2.7500530329602473</v>
      </c>
      <c r="O68">
        <f t="shared" si="11"/>
        <v>16664.669999999998</v>
      </c>
      <c r="P68">
        <f t="shared" si="12"/>
        <v>63.637064885124516</v>
      </c>
      <c r="Q68" s="4" t="str">
        <f t="shared" si="13"/>
        <v>2025-04</v>
      </c>
    </row>
    <row r="69" spans="1:17" x14ac:dyDescent="0.3">
      <c r="A69" t="s">
        <v>77</v>
      </c>
      <c r="B69" s="2">
        <v>45687</v>
      </c>
      <c r="C69" t="s">
        <v>511</v>
      </c>
      <c r="D69" t="s">
        <v>516</v>
      </c>
      <c r="E69">
        <v>3588.98</v>
      </c>
      <c r="F69">
        <v>3045.21</v>
      </c>
      <c r="G69">
        <v>162389</v>
      </c>
      <c r="H69">
        <v>4500</v>
      </c>
      <c r="I69">
        <v>742</v>
      </c>
      <c r="J69">
        <v>34841.82</v>
      </c>
      <c r="K69">
        <f t="shared" si="7"/>
        <v>2.7711236598538077E-2</v>
      </c>
      <c r="L69">
        <f t="shared" si="8"/>
        <v>0.67671333333333339</v>
      </c>
      <c r="M69">
        <f t="shared" si="9"/>
        <v>4.1040566037735848</v>
      </c>
      <c r="N69">
        <f t="shared" si="10"/>
        <v>11.441516348626203</v>
      </c>
      <c r="O69">
        <f t="shared" si="11"/>
        <v>31796.61</v>
      </c>
      <c r="P69">
        <f t="shared" si="12"/>
        <v>91.259899741173115</v>
      </c>
      <c r="Q69" s="4" t="str">
        <f t="shared" si="13"/>
        <v>2025-01</v>
      </c>
    </row>
    <row r="70" spans="1:17" x14ac:dyDescent="0.3">
      <c r="A70" t="s">
        <v>78</v>
      </c>
      <c r="B70" s="2">
        <v>45802</v>
      </c>
      <c r="C70" t="s">
        <v>512</v>
      </c>
      <c r="D70" t="s">
        <v>515</v>
      </c>
      <c r="E70">
        <v>7245</v>
      </c>
      <c r="F70">
        <v>5815.99</v>
      </c>
      <c r="G70">
        <v>94836</v>
      </c>
      <c r="H70">
        <v>3956</v>
      </c>
      <c r="I70">
        <v>181</v>
      </c>
      <c r="J70">
        <v>4170.99</v>
      </c>
      <c r="K70">
        <f t="shared" si="7"/>
        <v>4.1714117001982368E-2</v>
      </c>
      <c r="L70">
        <f t="shared" si="8"/>
        <v>1.470169362992922</v>
      </c>
      <c r="M70">
        <f t="shared" si="9"/>
        <v>32.132541436464088</v>
      </c>
      <c r="N70">
        <f t="shared" si="10"/>
        <v>0.71715907351972752</v>
      </c>
      <c r="O70">
        <f t="shared" si="11"/>
        <v>-1645</v>
      </c>
      <c r="P70">
        <f t="shared" si="12"/>
        <v>-39.439078012654072</v>
      </c>
      <c r="Q70" s="4" t="str">
        <f t="shared" si="13"/>
        <v>2025-05</v>
      </c>
    </row>
    <row r="71" spans="1:17" x14ac:dyDescent="0.3">
      <c r="A71" t="s">
        <v>79</v>
      </c>
      <c r="B71" s="2">
        <v>45698</v>
      </c>
      <c r="C71" t="s">
        <v>511</v>
      </c>
      <c r="D71" t="s">
        <v>518</v>
      </c>
      <c r="E71">
        <v>7644.51</v>
      </c>
      <c r="F71">
        <v>6127.22</v>
      </c>
      <c r="G71">
        <v>191486</v>
      </c>
      <c r="H71">
        <v>4445</v>
      </c>
      <c r="I71">
        <v>80</v>
      </c>
      <c r="J71">
        <v>1985.94</v>
      </c>
      <c r="K71">
        <f t="shared" si="7"/>
        <v>2.3213185298141901E-2</v>
      </c>
      <c r="L71">
        <f t="shared" si="8"/>
        <v>1.3784521934758156</v>
      </c>
      <c r="M71">
        <f t="shared" si="9"/>
        <v>76.590249999999997</v>
      </c>
      <c r="N71">
        <f t="shared" si="10"/>
        <v>0.32411762593802734</v>
      </c>
      <c r="O71">
        <f t="shared" si="11"/>
        <v>-4141.2800000000007</v>
      </c>
      <c r="P71">
        <f t="shared" si="12"/>
        <v>-208.52996565857987</v>
      </c>
      <c r="Q71" s="4" t="str">
        <f t="shared" si="13"/>
        <v>2025-02</v>
      </c>
    </row>
    <row r="72" spans="1:17" x14ac:dyDescent="0.3">
      <c r="A72" t="s">
        <v>80</v>
      </c>
      <c r="B72" s="2">
        <v>45724</v>
      </c>
      <c r="C72" t="s">
        <v>514</v>
      </c>
      <c r="D72" t="s">
        <v>518</v>
      </c>
      <c r="E72">
        <v>6841.14</v>
      </c>
      <c r="F72">
        <v>6892.92</v>
      </c>
      <c r="G72">
        <v>138384</v>
      </c>
      <c r="H72">
        <v>3042</v>
      </c>
      <c r="I72">
        <v>323</v>
      </c>
      <c r="J72">
        <v>12777.5</v>
      </c>
      <c r="K72">
        <f t="shared" si="7"/>
        <v>2.1982310093652445E-2</v>
      </c>
      <c r="L72">
        <f t="shared" si="8"/>
        <v>2.2659171597633136</v>
      </c>
      <c r="M72">
        <f t="shared" si="9"/>
        <v>21.34030959752322</v>
      </c>
      <c r="N72">
        <f t="shared" si="10"/>
        <v>1.8537136656163136</v>
      </c>
      <c r="O72">
        <f t="shared" si="11"/>
        <v>5884.58</v>
      </c>
      <c r="P72">
        <f t="shared" si="12"/>
        <v>46.054235961651344</v>
      </c>
      <c r="Q72" s="4" t="str">
        <f t="shared" si="13"/>
        <v>2025-03</v>
      </c>
    </row>
    <row r="73" spans="1:17" x14ac:dyDescent="0.3">
      <c r="A73" t="s">
        <v>81</v>
      </c>
      <c r="B73" s="2">
        <v>45785</v>
      </c>
      <c r="C73" t="s">
        <v>513</v>
      </c>
      <c r="D73" t="s">
        <v>517</v>
      </c>
      <c r="E73">
        <v>4569.8900000000003</v>
      </c>
      <c r="F73">
        <v>4632.29</v>
      </c>
      <c r="G73">
        <v>72528</v>
      </c>
      <c r="H73">
        <v>1306</v>
      </c>
      <c r="I73">
        <v>139</v>
      </c>
      <c r="J73">
        <v>3769.33</v>
      </c>
      <c r="K73">
        <f t="shared" si="7"/>
        <v>1.800683873814251E-2</v>
      </c>
      <c r="L73">
        <f t="shared" si="8"/>
        <v>3.5469295558958653</v>
      </c>
      <c r="M73">
        <f t="shared" si="9"/>
        <v>33.325827338129493</v>
      </c>
      <c r="N73">
        <f t="shared" si="10"/>
        <v>0.81370769101243656</v>
      </c>
      <c r="O73">
        <f t="shared" si="11"/>
        <v>-862.96</v>
      </c>
      <c r="P73">
        <f t="shared" si="12"/>
        <v>-22.894254416567403</v>
      </c>
      <c r="Q73" s="4" t="str">
        <f t="shared" si="13"/>
        <v>2025-05</v>
      </c>
    </row>
    <row r="74" spans="1:17" x14ac:dyDescent="0.3">
      <c r="A74" t="s">
        <v>82</v>
      </c>
      <c r="B74" s="2">
        <v>45712</v>
      </c>
      <c r="C74" t="s">
        <v>514</v>
      </c>
      <c r="D74" t="s">
        <v>518</v>
      </c>
      <c r="E74">
        <v>5277.8</v>
      </c>
      <c r="F74">
        <v>5404.19</v>
      </c>
      <c r="G74">
        <v>173181</v>
      </c>
      <c r="H74">
        <v>6365</v>
      </c>
      <c r="I74">
        <v>651</v>
      </c>
      <c r="J74">
        <v>25707.33</v>
      </c>
      <c r="K74">
        <f t="shared" si="7"/>
        <v>3.6753454478262629E-2</v>
      </c>
      <c r="L74">
        <f t="shared" si="8"/>
        <v>0.84904791830322068</v>
      </c>
      <c r="M74">
        <f t="shared" si="9"/>
        <v>8.3013671274961585</v>
      </c>
      <c r="N74">
        <f t="shared" si="10"/>
        <v>4.7569256447312185</v>
      </c>
      <c r="O74">
        <f t="shared" si="11"/>
        <v>20303.140000000003</v>
      </c>
      <c r="P74">
        <f t="shared" si="12"/>
        <v>78.978019109724741</v>
      </c>
      <c r="Q74" s="4" t="str">
        <f t="shared" si="13"/>
        <v>2025-02</v>
      </c>
    </row>
    <row r="75" spans="1:17" x14ac:dyDescent="0.3">
      <c r="A75" t="s">
        <v>83</v>
      </c>
      <c r="B75" s="2">
        <v>45674</v>
      </c>
      <c r="C75" t="s">
        <v>511</v>
      </c>
      <c r="D75" t="s">
        <v>517</v>
      </c>
      <c r="E75">
        <v>8944.56</v>
      </c>
      <c r="F75">
        <v>8920.27</v>
      </c>
      <c r="G75">
        <v>107709</v>
      </c>
      <c r="H75">
        <v>2586</v>
      </c>
      <c r="I75">
        <v>314</v>
      </c>
      <c r="J75">
        <v>11633.47</v>
      </c>
      <c r="K75">
        <f t="shared" si="7"/>
        <v>2.4009135726819487E-2</v>
      </c>
      <c r="L75">
        <f t="shared" si="8"/>
        <v>3.449447022428461</v>
      </c>
      <c r="M75">
        <f t="shared" si="9"/>
        <v>28.408503184713378</v>
      </c>
      <c r="N75">
        <f t="shared" si="10"/>
        <v>1.3041611969144431</v>
      </c>
      <c r="O75">
        <f t="shared" si="11"/>
        <v>2713.1999999999989</v>
      </c>
      <c r="P75">
        <f t="shared" si="12"/>
        <v>23.322362115516686</v>
      </c>
      <c r="Q75" s="4" t="str">
        <f t="shared" si="13"/>
        <v>2025-01</v>
      </c>
    </row>
    <row r="76" spans="1:17" x14ac:dyDescent="0.3">
      <c r="A76" t="s">
        <v>84</v>
      </c>
      <c r="B76" s="2">
        <v>45757</v>
      </c>
      <c r="C76" t="s">
        <v>512</v>
      </c>
      <c r="D76" t="s">
        <v>516</v>
      </c>
      <c r="E76">
        <v>3655.72</v>
      </c>
      <c r="F76">
        <v>3327.86</v>
      </c>
      <c r="G76">
        <v>86473</v>
      </c>
      <c r="H76">
        <v>2750</v>
      </c>
      <c r="I76">
        <v>491</v>
      </c>
      <c r="J76">
        <v>13726.43</v>
      </c>
      <c r="K76">
        <f t="shared" si="7"/>
        <v>3.1801834098504733E-2</v>
      </c>
      <c r="L76">
        <f t="shared" si="8"/>
        <v>1.2101309090909091</v>
      </c>
      <c r="M76">
        <f t="shared" si="9"/>
        <v>6.7777189409368637</v>
      </c>
      <c r="N76">
        <f t="shared" si="10"/>
        <v>4.1247017602903968</v>
      </c>
      <c r="O76">
        <f t="shared" si="11"/>
        <v>10398.57</v>
      </c>
      <c r="P76">
        <f t="shared" si="12"/>
        <v>75.755822890584085</v>
      </c>
      <c r="Q76" s="4" t="str">
        <f t="shared" si="13"/>
        <v>2025-04</v>
      </c>
    </row>
    <row r="77" spans="1:17" x14ac:dyDescent="0.3">
      <c r="A77" t="s">
        <v>85</v>
      </c>
      <c r="B77" s="2">
        <v>45818</v>
      </c>
      <c r="C77" t="s">
        <v>514</v>
      </c>
      <c r="D77" t="s">
        <v>517</v>
      </c>
      <c r="E77">
        <v>4707.93</v>
      </c>
      <c r="F77">
        <v>5140.6000000000004</v>
      </c>
      <c r="G77">
        <v>94803</v>
      </c>
      <c r="H77">
        <v>2004</v>
      </c>
      <c r="I77">
        <v>320</v>
      </c>
      <c r="J77">
        <v>10173.74</v>
      </c>
      <c r="K77">
        <f t="shared" si="7"/>
        <v>2.1138571564191008E-2</v>
      </c>
      <c r="L77">
        <f t="shared" si="8"/>
        <v>2.5651696606786429</v>
      </c>
      <c r="M77">
        <f t="shared" si="9"/>
        <v>16.064375000000002</v>
      </c>
      <c r="N77">
        <f t="shared" si="10"/>
        <v>1.9790958253900321</v>
      </c>
      <c r="O77">
        <f t="shared" si="11"/>
        <v>5033.1399999999994</v>
      </c>
      <c r="P77">
        <f t="shared" si="12"/>
        <v>49.471875632756486</v>
      </c>
      <c r="Q77" s="4" t="str">
        <f t="shared" si="13"/>
        <v>2025-06</v>
      </c>
    </row>
    <row r="78" spans="1:17" x14ac:dyDescent="0.3">
      <c r="A78" t="s">
        <v>86</v>
      </c>
      <c r="B78" s="2">
        <v>45636</v>
      </c>
      <c r="C78" t="s">
        <v>512</v>
      </c>
      <c r="D78" t="s">
        <v>515</v>
      </c>
      <c r="E78">
        <v>9244.33</v>
      </c>
      <c r="F78">
        <v>9145.7999999999993</v>
      </c>
      <c r="G78">
        <v>55244</v>
      </c>
      <c r="H78">
        <v>2028</v>
      </c>
      <c r="I78">
        <v>320</v>
      </c>
      <c r="J78">
        <v>14030.19</v>
      </c>
      <c r="K78">
        <f t="shared" si="7"/>
        <v>3.6709868945043807E-2</v>
      </c>
      <c r="L78">
        <f t="shared" si="8"/>
        <v>4.5097633136094668</v>
      </c>
      <c r="M78">
        <f t="shared" si="9"/>
        <v>28.580624999999998</v>
      </c>
      <c r="N78">
        <f t="shared" si="10"/>
        <v>1.5340582562487701</v>
      </c>
      <c r="O78">
        <f t="shared" si="11"/>
        <v>4884.3900000000012</v>
      </c>
      <c r="P78">
        <f t="shared" si="12"/>
        <v>34.813427330634873</v>
      </c>
      <c r="Q78" s="4" t="str">
        <f t="shared" si="13"/>
        <v>2024-12</v>
      </c>
    </row>
    <row r="79" spans="1:17" x14ac:dyDescent="0.3">
      <c r="A79" t="s">
        <v>87</v>
      </c>
      <c r="B79" s="2">
        <v>45713</v>
      </c>
      <c r="C79" t="s">
        <v>510</v>
      </c>
      <c r="D79" t="s">
        <v>518</v>
      </c>
      <c r="E79">
        <v>6518.46</v>
      </c>
      <c r="F79">
        <v>6342.93</v>
      </c>
      <c r="G79">
        <v>103713</v>
      </c>
      <c r="H79">
        <v>2193</v>
      </c>
      <c r="I79">
        <v>165</v>
      </c>
      <c r="J79">
        <v>5737.96</v>
      </c>
      <c r="K79">
        <f t="shared" si="7"/>
        <v>2.1144890225911893E-2</v>
      </c>
      <c r="L79">
        <f t="shared" si="8"/>
        <v>2.8923529411764708</v>
      </c>
      <c r="M79">
        <f t="shared" si="9"/>
        <v>38.442</v>
      </c>
      <c r="N79">
        <f t="shared" si="10"/>
        <v>0.9046229423941301</v>
      </c>
      <c r="O79">
        <f t="shared" si="11"/>
        <v>-604.97000000000025</v>
      </c>
      <c r="P79">
        <f t="shared" si="12"/>
        <v>-10.543294132409432</v>
      </c>
      <c r="Q79" s="4" t="str">
        <f t="shared" si="13"/>
        <v>2025-02</v>
      </c>
    </row>
    <row r="80" spans="1:17" x14ac:dyDescent="0.3">
      <c r="A80" t="s">
        <v>88</v>
      </c>
      <c r="B80" s="2">
        <v>45725</v>
      </c>
      <c r="C80" t="s">
        <v>510</v>
      </c>
      <c r="D80" t="s">
        <v>515</v>
      </c>
      <c r="E80">
        <v>4366.7</v>
      </c>
      <c r="F80">
        <v>4439.78</v>
      </c>
      <c r="G80">
        <v>110834</v>
      </c>
      <c r="H80">
        <v>4636</v>
      </c>
      <c r="I80">
        <v>797</v>
      </c>
      <c r="J80">
        <v>22653.27</v>
      </c>
      <c r="K80">
        <f t="shared" si="7"/>
        <v>4.182831982965516E-2</v>
      </c>
      <c r="L80">
        <f t="shared" si="8"/>
        <v>0.95767471958584982</v>
      </c>
      <c r="M80">
        <f t="shared" si="9"/>
        <v>5.5706148055207025</v>
      </c>
      <c r="N80">
        <f t="shared" si="10"/>
        <v>5.1023406565190168</v>
      </c>
      <c r="O80">
        <f t="shared" si="11"/>
        <v>18213.490000000002</v>
      </c>
      <c r="P80">
        <f t="shared" si="12"/>
        <v>80.401151798393784</v>
      </c>
      <c r="Q80" s="4" t="str">
        <f t="shared" si="13"/>
        <v>2025-03</v>
      </c>
    </row>
    <row r="81" spans="1:17" x14ac:dyDescent="0.3">
      <c r="A81" t="s">
        <v>89</v>
      </c>
      <c r="B81" s="2">
        <v>45731</v>
      </c>
      <c r="C81" t="s">
        <v>511</v>
      </c>
      <c r="D81" t="s">
        <v>518</v>
      </c>
      <c r="E81">
        <v>3170.21</v>
      </c>
      <c r="F81">
        <v>3150.05</v>
      </c>
      <c r="G81">
        <v>122735</v>
      </c>
      <c r="H81">
        <v>2941</v>
      </c>
      <c r="I81">
        <v>274</v>
      </c>
      <c r="J81">
        <v>6935.85</v>
      </c>
      <c r="K81">
        <f t="shared" si="7"/>
        <v>2.3962194972909114E-2</v>
      </c>
      <c r="L81">
        <f t="shared" si="8"/>
        <v>1.0710812648758927</v>
      </c>
      <c r="M81">
        <f t="shared" si="9"/>
        <v>11.496532846715329</v>
      </c>
      <c r="N81">
        <f t="shared" si="10"/>
        <v>2.2018221932985189</v>
      </c>
      <c r="O81">
        <f t="shared" si="11"/>
        <v>3785.8</v>
      </c>
      <c r="P81">
        <f t="shared" si="12"/>
        <v>54.583072009919476</v>
      </c>
      <c r="Q81" s="4" t="str">
        <f t="shared" si="13"/>
        <v>2025-03</v>
      </c>
    </row>
    <row r="82" spans="1:17" x14ac:dyDescent="0.3">
      <c r="A82" t="s">
        <v>90</v>
      </c>
      <c r="B82" s="2">
        <v>45671</v>
      </c>
      <c r="C82" t="s">
        <v>513</v>
      </c>
      <c r="D82" t="s">
        <v>518</v>
      </c>
      <c r="E82">
        <v>9583.2099999999991</v>
      </c>
      <c r="F82">
        <v>10409.08</v>
      </c>
      <c r="G82">
        <v>188008</v>
      </c>
      <c r="H82">
        <v>8592</v>
      </c>
      <c r="I82">
        <v>165</v>
      </c>
      <c r="J82">
        <v>7828.58</v>
      </c>
      <c r="K82">
        <f t="shared" si="7"/>
        <v>4.5700182970937406E-2</v>
      </c>
      <c r="L82">
        <f t="shared" si="8"/>
        <v>1.2114851024208566</v>
      </c>
      <c r="M82">
        <f t="shared" si="9"/>
        <v>63.085333333333331</v>
      </c>
      <c r="N82">
        <f t="shared" si="10"/>
        <v>0.75209144323994048</v>
      </c>
      <c r="O82">
        <f t="shared" si="11"/>
        <v>-2580.5</v>
      </c>
      <c r="P82">
        <f t="shared" si="12"/>
        <v>-32.962555150487063</v>
      </c>
      <c r="Q82" s="4" t="str">
        <f t="shared" si="13"/>
        <v>2025-01</v>
      </c>
    </row>
    <row r="83" spans="1:17" x14ac:dyDescent="0.3">
      <c r="A83" t="s">
        <v>91</v>
      </c>
      <c r="B83" s="2">
        <v>45706</v>
      </c>
      <c r="C83" t="s">
        <v>510</v>
      </c>
      <c r="D83" t="s">
        <v>518</v>
      </c>
      <c r="E83">
        <v>5591.11</v>
      </c>
      <c r="F83">
        <v>4498.8100000000004</v>
      </c>
      <c r="G83">
        <v>139883</v>
      </c>
      <c r="H83">
        <v>4226</v>
      </c>
      <c r="I83">
        <v>835</v>
      </c>
      <c r="J83">
        <v>39954.379999999997</v>
      </c>
      <c r="K83">
        <f t="shared" si="7"/>
        <v>3.0210962018258115E-2</v>
      </c>
      <c r="L83">
        <f t="shared" si="8"/>
        <v>1.0645551348793185</v>
      </c>
      <c r="M83">
        <f t="shared" si="9"/>
        <v>5.387796407185629</v>
      </c>
      <c r="N83">
        <f t="shared" si="10"/>
        <v>8.8810996685790222</v>
      </c>
      <c r="O83">
        <f t="shared" si="11"/>
        <v>35455.57</v>
      </c>
      <c r="P83">
        <f t="shared" si="12"/>
        <v>88.740133121825451</v>
      </c>
      <c r="Q83" s="4" t="str">
        <f t="shared" si="13"/>
        <v>2025-02</v>
      </c>
    </row>
    <row r="84" spans="1:17" x14ac:dyDescent="0.3">
      <c r="A84" t="s">
        <v>92</v>
      </c>
      <c r="B84" s="2">
        <v>45701</v>
      </c>
      <c r="C84" t="s">
        <v>513</v>
      </c>
      <c r="D84" t="s">
        <v>518</v>
      </c>
      <c r="E84">
        <v>5997.29</v>
      </c>
      <c r="F84">
        <v>6537.02</v>
      </c>
      <c r="G84">
        <v>138325</v>
      </c>
      <c r="H84">
        <v>4027</v>
      </c>
      <c r="I84">
        <v>453</v>
      </c>
      <c r="J84">
        <v>22155.599999999999</v>
      </c>
      <c r="K84">
        <f t="shared" si="7"/>
        <v>2.9112597144406289E-2</v>
      </c>
      <c r="L84">
        <f t="shared" si="8"/>
        <v>1.6232977402532904</v>
      </c>
      <c r="M84">
        <f t="shared" si="9"/>
        <v>14.430507726269317</v>
      </c>
      <c r="N84">
        <f t="shared" si="10"/>
        <v>3.3892507595203925</v>
      </c>
      <c r="O84">
        <f t="shared" si="11"/>
        <v>15618.579999999998</v>
      </c>
      <c r="P84">
        <f t="shared" si="12"/>
        <v>70.494953871707381</v>
      </c>
      <c r="Q84" s="4" t="str">
        <f t="shared" si="13"/>
        <v>2025-02</v>
      </c>
    </row>
    <row r="85" spans="1:17" x14ac:dyDescent="0.3">
      <c r="A85" t="s">
        <v>93</v>
      </c>
      <c r="B85" s="2">
        <v>45763</v>
      </c>
      <c r="C85" t="s">
        <v>510</v>
      </c>
      <c r="D85" t="s">
        <v>518</v>
      </c>
      <c r="E85">
        <v>8971.07</v>
      </c>
      <c r="F85">
        <v>7969.31</v>
      </c>
      <c r="G85">
        <v>82264</v>
      </c>
      <c r="H85">
        <v>3537</v>
      </c>
      <c r="I85">
        <v>673</v>
      </c>
      <c r="J85">
        <v>21235.119999999999</v>
      </c>
      <c r="K85">
        <f t="shared" si="7"/>
        <v>4.2995721093066229E-2</v>
      </c>
      <c r="L85">
        <f t="shared" si="8"/>
        <v>2.2531269437376307</v>
      </c>
      <c r="M85">
        <f t="shared" si="9"/>
        <v>11.841471025260031</v>
      </c>
      <c r="N85">
        <f t="shared" si="10"/>
        <v>2.6646121182385927</v>
      </c>
      <c r="O85">
        <f t="shared" si="11"/>
        <v>13265.809999999998</v>
      </c>
      <c r="P85">
        <f t="shared" si="12"/>
        <v>62.471085635494397</v>
      </c>
      <c r="Q85" s="4" t="str">
        <f t="shared" si="13"/>
        <v>2025-04</v>
      </c>
    </row>
    <row r="86" spans="1:17" x14ac:dyDescent="0.3">
      <c r="A86" t="s">
        <v>94</v>
      </c>
      <c r="B86" s="2">
        <v>45642</v>
      </c>
      <c r="C86" t="s">
        <v>511</v>
      </c>
      <c r="D86" t="s">
        <v>515</v>
      </c>
      <c r="E86">
        <v>8957.9599999999991</v>
      </c>
      <c r="F86">
        <v>8018.06</v>
      </c>
      <c r="G86">
        <v>88706</v>
      </c>
      <c r="H86">
        <v>1251</v>
      </c>
      <c r="I86">
        <v>146</v>
      </c>
      <c r="J86">
        <v>3662.38</v>
      </c>
      <c r="K86">
        <f t="shared" si="7"/>
        <v>1.4102766441954321E-2</v>
      </c>
      <c r="L86">
        <f t="shared" si="8"/>
        <v>6.4093205435651486</v>
      </c>
      <c r="M86">
        <f t="shared" si="9"/>
        <v>54.918219178082197</v>
      </c>
      <c r="N86">
        <f t="shared" si="10"/>
        <v>0.45676634996495413</v>
      </c>
      <c r="O86">
        <f t="shared" si="11"/>
        <v>-4355.68</v>
      </c>
      <c r="P86">
        <f t="shared" si="12"/>
        <v>-118.93031307510418</v>
      </c>
      <c r="Q86" s="4" t="str">
        <f t="shared" si="13"/>
        <v>2024-12</v>
      </c>
    </row>
    <row r="87" spans="1:17" x14ac:dyDescent="0.3">
      <c r="A87" t="s">
        <v>95</v>
      </c>
      <c r="B87" s="2">
        <v>45693</v>
      </c>
      <c r="C87" t="s">
        <v>510</v>
      </c>
      <c r="D87" t="s">
        <v>517</v>
      </c>
      <c r="E87">
        <v>6897.61</v>
      </c>
      <c r="F87">
        <v>7455.26</v>
      </c>
      <c r="G87">
        <v>141755</v>
      </c>
      <c r="H87">
        <v>1695</v>
      </c>
      <c r="I87">
        <v>122</v>
      </c>
      <c r="J87">
        <v>4987.47</v>
      </c>
      <c r="K87">
        <f t="shared" si="7"/>
        <v>1.1957250185178653E-2</v>
      </c>
      <c r="L87">
        <f t="shared" si="8"/>
        <v>4.3983834808259585</v>
      </c>
      <c r="M87">
        <f t="shared" si="9"/>
        <v>61.108688524590164</v>
      </c>
      <c r="N87">
        <f t="shared" si="10"/>
        <v>0.66898672883306554</v>
      </c>
      <c r="O87">
        <f t="shared" si="11"/>
        <v>-2467.79</v>
      </c>
      <c r="P87">
        <f t="shared" si="12"/>
        <v>-49.47979636970247</v>
      </c>
      <c r="Q87" s="4" t="str">
        <f t="shared" si="13"/>
        <v>2025-02</v>
      </c>
    </row>
    <row r="88" spans="1:17" x14ac:dyDescent="0.3">
      <c r="A88" t="s">
        <v>96</v>
      </c>
      <c r="B88" s="2">
        <v>45639</v>
      </c>
      <c r="C88" t="s">
        <v>512</v>
      </c>
      <c r="D88" t="s">
        <v>517</v>
      </c>
      <c r="E88">
        <v>6990.43</v>
      </c>
      <c r="F88">
        <v>5796.14</v>
      </c>
      <c r="G88">
        <v>97675</v>
      </c>
      <c r="H88">
        <v>4253</v>
      </c>
      <c r="I88">
        <v>420</v>
      </c>
      <c r="J88">
        <v>16149.09</v>
      </c>
      <c r="K88">
        <f t="shared" si="7"/>
        <v>4.3542359866905557E-2</v>
      </c>
      <c r="L88">
        <f t="shared" si="8"/>
        <v>1.3628356454267576</v>
      </c>
      <c r="M88">
        <f t="shared" si="9"/>
        <v>13.800333333333334</v>
      </c>
      <c r="N88">
        <f t="shared" si="10"/>
        <v>2.7861801129717363</v>
      </c>
      <c r="O88">
        <f t="shared" si="11"/>
        <v>10352.950000000001</v>
      </c>
      <c r="P88">
        <f t="shared" si="12"/>
        <v>64.10856586965582</v>
      </c>
      <c r="Q88" s="4" t="str">
        <f t="shared" si="13"/>
        <v>2024-12</v>
      </c>
    </row>
    <row r="89" spans="1:17" x14ac:dyDescent="0.3">
      <c r="A89" t="s">
        <v>97</v>
      </c>
      <c r="B89" s="2">
        <v>45766</v>
      </c>
      <c r="C89" t="s">
        <v>514</v>
      </c>
      <c r="D89" t="s">
        <v>517</v>
      </c>
      <c r="E89">
        <v>9930.3799999999992</v>
      </c>
      <c r="F89">
        <v>8361.6299999999992</v>
      </c>
      <c r="G89">
        <v>155967</v>
      </c>
      <c r="H89">
        <v>1655</v>
      </c>
      <c r="I89">
        <v>74</v>
      </c>
      <c r="J89">
        <v>2630.69</v>
      </c>
      <c r="K89">
        <f t="shared" si="7"/>
        <v>1.0611219039925112E-2</v>
      </c>
      <c r="L89">
        <f t="shared" si="8"/>
        <v>5.0523444108761328</v>
      </c>
      <c r="M89">
        <f t="shared" si="9"/>
        <v>112.99499999999999</v>
      </c>
      <c r="N89">
        <f t="shared" si="10"/>
        <v>0.31461449502070771</v>
      </c>
      <c r="O89">
        <f t="shared" si="11"/>
        <v>-5730.9399999999987</v>
      </c>
      <c r="P89">
        <f t="shared" si="12"/>
        <v>-217.84930949674796</v>
      </c>
      <c r="Q89" s="4" t="str">
        <f t="shared" si="13"/>
        <v>2025-04</v>
      </c>
    </row>
    <row r="90" spans="1:17" x14ac:dyDescent="0.3">
      <c r="A90" t="s">
        <v>98</v>
      </c>
      <c r="B90" s="2">
        <v>45645</v>
      </c>
      <c r="C90" t="s">
        <v>512</v>
      </c>
      <c r="D90" t="s">
        <v>516</v>
      </c>
      <c r="E90">
        <v>9141.61</v>
      </c>
      <c r="F90">
        <v>9344.83</v>
      </c>
      <c r="G90">
        <v>154219</v>
      </c>
      <c r="H90">
        <v>2086</v>
      </c>
      <c r="I90">
        <v>249</v>
      </c>
      <c r="J90">
        <v>10186.709999999999</v>
      </c>
      <c r="K90">
        <f t="shared" si="7"/>
        <v>1.3526219207750018E-2</v>
      </c>
      <c r="L90">
        <f t="shared" si="8"/>
        <v>4.4797842761265576</v>
      </c>
      <c r="M90">
        <f t="shared" si="9"/>
        <v>37.529437751004018</v>
      </c>
      <c r="N90">
        <f t="shared" si="10"/>
        <v>1.0900904564341993</v>
      </c>
      <c r="O90">
        <f t="shared" si="11"/>
        <v>841.8799999999992</v>
      </c>
      <c r="P90">
        <f t="shared" si="12"/>
        <v>8.2644936392613442</v>
      </c>
      <c r="Q90" s="4" t="str">
        <f t="shared" si="13"/>
        <v>2024-12</v>
      </c>
    </row>
    <row r="91" spans="1:17" x14ac:dyDescent="0.3">
      <c r="A91" t="s">
        <v>99</v>
      </c>
      <c r="B91" s="2">
        <v>45784</v>
      </c>
      <c r="C91" t="s">
        <v>511</v>
      </c>
      <c r="D91" t="s">
        <v>515</v>
      </c>
      <c r="E91">
        <v>7917.39</v>
      </c>
      <c r="F91">
        <v>7187.78</v>
      </c>
      <c r="G91">
        <v>133842</v>
      </c>
      <c r="H91">
        <v>1394</v>
      </c>
      <c r="I91">
        <v>197</v>
      </c>
      <c r="J91">
        <v>5675.13</v>
      </c>
      <c r="K91">
        <f t="shared" si="7"/>
        <v>1.0415265761121322E-2</v>
      </c>
      <c r="L91">
        <f t="shared" si="8"/>
        <v>5.1562266857962697</v>
      </c>
      <c r="M91">
        <f t="shared" si="9"/>
        <v>36.486192893401011</v>
      </c>
      <c r="N91">
        <f t="shared" si="10"/>
        <v>0.78955254612689874</v>
      </c>
      <c r="O91">
        <f t="shared" si="11"/>
        <v>-1512.6499999999996</v>
      </c>
      <c r="P91">
        <f t="shared" si="12"/>
        <v>-26.65401497410631</v>
      </c>
      <c r="Q91" s="4" t="str">
        <f t="shared" si="13"/>
        <v>2025-05</v>
      </c>
    </row>
    <row r="92" spans="1:17" x14ac:dyDescent="0.3">
      <c r="A92" t="s">
        <v>100</v>
      </c>
      <c r="B92" s="2">
        <v>45662</v>
      </c>
      <c r="C92" t="s">
        <v>513</v>
      </c>
      <c r="D92" t="s">
        <v>517</v>
      </c>
      <c r="E92">
        <v>8665.5300000000007</v>
      </c>
      <c r="F92">
        <v>9038.44</v>
      </c>
      <c r="G92">
        <v>126153</v>
      </c>
      <c r="H92">
        <v>6045</v>
      </c>
      <c r="I92">
        <v>748</v>
      </c>
      <c r="J92">
        <v>34417.1</v>
      </c>
      <c r="K92">
        <f t="shared" si="7"/>
        <v>4.7918004328077808E-2</v>
      </c>
      <c r="L92">
        <f t="shared" si="8"/>
        <v>1.4951927212572376</v>
      </c>
      <c r="M92">
        <f t="shared" si="9"/>
        <v>12.083475935828877</v>
      </c>
      <c r="N92">
        <f t="shared" si="10"/>
        <v>3.8078584357477614</v>
      </c>
      <c r="O92">
        <f t="shared" si="11"/>
        <v>25378.659999999996</v>
      </c>
      <c r="P92">
        <f t="shared" si="12"/>
        <v>73.73851951500852</v>
      </c>
      <c r="Q92" s="4" t="str">
        <f t="shared" si="13"/>
        <v>2025-01</v>
      </c>
    </row>
    <row r="93" spans="1:17" x14ac:dyDescent="0.3">
      <c r="A93" t="s">
        <v>101</v>
      </c>
      <c r="B93" s="2">
        <v>45642</v>
      </c>
      <c r="C93" t="s">
        <v>510</v>
      </c>
      <c r="D93" t="s">
        <v>516</v>
      </c>
      <c r="E93">
        <v>9392.68</v>
      </c>
      <c r="F93">
        <v>8955.01</v>
      </c>
      <c r="G93">
        <v>83386</v>
      </c>
      <c r="H93">
        <v>1255</v>
      </c>
      <c r="I93">
        <v>90</v>
      </c>
      <c r="J93">
        <v>3154.09</v>
      </c>
      <c r="K93">
        <f t="shared" si="7"/>
        <v>1.5050488091526155E-2</v>
      </c>
      <c r="L93">
        <f t="shared" si="8"/>
        <v>7.1354661354581674</v>
      </c>
      <c r="M93">
        <f t="shared" si="9"/>
        <v>99.50011111111111</v>
      </c>
      <c r="N93">
        <f t="shared" si="10"/>
        <v>0.35221512873799138</v>
      </c>
      <c r="O93">
        <f t="shared" si="11"/>
        <v>-5800.92</v>
      </c>
      <c r="P93">
        <f t="shared" si="12"/>
        <v>-183.91738980181287</v>
      </c>
      <c r="Q93" s="4" t="str">
        <f t="shared" si="13"/>
        <v>2024-12</v>
      </c>
    </row>
    <row r="94" spans="1:17" x14ac:dyDescent="0.3">
      <c r="A94" t="s">
        <v>102</v>
      </c>
      <c r="B94" s="2">
        <v>45801</v>
      </c>
      <c r="C94" t="s">
        <v>513</v>
      </c>
      <c r="D94" t="s">
        <v>517</v>
      </c>
      <c r="E94">
        <v>8588.07</v>
      </c>
      <c r="F94">
        <v>8545.0400000000009</v>
      </c>
      <c r="G94">
        <v>137986</v>
      </c>
      <c r="H94">
        <v>6053</v>
      </c>
      <c r="I94">
        <v>403</v>
      </c>
      <c r="J94">
        <v>16546.78</v>
      </c>
      <c r="K94">
        <f t="shared" si="7"/>
        <v>4.3866769092516633E-2</v>
      </c>
      <c r="L94">
        <f t="shared" si="8"/>
        <v>1.4117032876259707</v>
      </c>
      <c r="M94">
        <f t="shared" si="9"/>
        <v>21.203573200992558</v>
      </c>
      <c r="N94">
        <f t="shared" si="10"/>
        <v>1.9364192560830606</v>
      </c>
      <c r="O94">
        <f t="shared" si="11"/>
        <v>8001.739999999998</v>
      </c>
      <c r="P94">
        <f t="shared" si="12"/>
        <v>48.358290857798309</v>
      </c>
      <c r="Q94" s="4" t="str">
        <f t="shared" si="13"/>
        <v>2025-05</v>
      </c>
    </row>
    <row r="95" spans="1:17" x14ac:dyDescent="0.3">
      <c r="A95" t="s">
        <v>103</v>
      </c>
      <c r="B95" s="2">
        <v>45767</v>
      </c>
      <c r="C95" t="s">
        <v>511</v>
      </c>
      <c r="D95" t="s">
        <v>518</v>
      </c>
      <c r="E95">
        <v>8570.5499999999993</v>
      </c>
      <c r="F95">
        <v>9144.7900000000009</v>
      </c>
      <c r="G95">
        <v>103318</v>
      </c>
      <c r="H95">
        <v>2013</v>
      </c>
      <c r="I95">
        <v>80</v>
      </c>
      <c r="J95">
        <v>2411.19</v>
      </c>
      <c r="K95">
        <f t="shared" si="7"/>
        <v>1.948353626667183E-2</v>
      </c>
      <c r="L95">
        <f t="shared" si="8"/>
        <v>4.5428663686040736</v>
      </c>
      <c r="M95">
        <f t="shared" si="9"/>
        <v>114.30987500000001</v>
      </c>
      <c r="N95">
        <f t="shared" si="10"/>
        <v>0.26366816515196084</v>
      </c>
      <c r="O95">
        <f t="shared" si="11"/>
        <v>-6733.6</v>
      </c>
      <c r="P95">
        <f t="shared" si="12"/>
        <v>-279.26459549019364</v>
      </c>
      <c r="Q95" s="4" t="str">
        <f t="shared" si="13"/>
        <v>2025-04</v>
      </c>
    </row>
    <row r="96" spans="1:17" x14ac:dyDescent="0.3">
      <c r="A96" t="s">
        <v>104</v>
      </c>
      <c r="B96" s="2">
        <v>45779</v>
      </c>
      <c r="C96" t="s">
        <v>513</v>
      </c>
      <c r="D96" t="s">
        <v>516</v>
      </c>
      <c r="E96">
        <v>5629.08</v>
      </c>
      <c r="F96">
        <v>4661.97</v>
      </c>
      <c r="G96">
        <v>163071</v>
      </c>
      <c r="H96">
        <v>2665</v>
      </c>
      <c r="I96">
        <v>80</v>
      </c>
      <c r="J96">
        <v>2987.87</v>
      </c>
      <c r="K96">
        <f t="shared" si="7"/>
        <v>1.6342574706722839E-2</v>
      </c>
      <c r="L96">
        <f t="shared" si="8"/>
        <v>1.7493320825515948</v>
      </c>
      <c r="M96">
        <f t="shared" si="9"/>
        <v>58.274625</v>
      </c>
      <c r="N96">
        <f t="shared" si="10"/>
        <v>0.64090288011291363</v>
      </c>
      <c r="O96">
        <f t="shared" si="11"/>
        <v>-1674.1000000000004</v>
      </c>
      <c r="P96">
        <f t="shared" si="12"/>
        <v>-56.029880818107905</v>
      </c>
      <c r="Q96" s="4" t="str">
        <f t="shared" si="13"/>
        <v>2025-05</v>
      </c>
    </row>
    <row r="97" spans="1:17" x14ac:dyDescent="0.3">
      <c r="A97" t="s">
        <v>105</v>
      </c>
      <c r="B97" s="2">
        <v>45813</v>
      </c>
      <c r="C97" t="s">
        <v>511</v>
      </c>
      <c r="D97" t="s">
        <v>517</v>
      </c>
      <c r="E97">
        <v>3251.6</v>
      </c>
      <c r="F97">
        <v>3055.46</v>
      </c>
      <c r="G97">
        <v>115973</v>
      </c>
      <c r="H97">
        <v>4194</v>
      </c>
      <c r="I97">
        <v>366</v>
      </c>
      <c r="J97">
        <v>13278.24</v>
      </c>
      <c r="K97">
        <f t="shared" si="7"/>
        <v>3.616358980107439E-2</v>
      </c>
      <c r="L97">
        <f t="shared" si="8"/>
        <v>0.72853123509775874</v>
      </c>
      <c r="M97">
        <f t="shared" si="9"/>
        <v>8.348251366120218</v>
      </c>
      <c r="N97">
        <f t="shared" si="10"/>
        <v>4.3457417213774683</v>
      </c>
      <c r="O97">
        <f t="shared" si="11"/>
        <v>10222.779999999999</v>
      </c>
      <c r="P97">
        <f t="shared" si="12"/>
        <v>76.988968417501098</v>
      </c>
      <c r="Q97" s="4" t="str">
        <f t="shared" si="13"/>
        <v>2025-06</v>
      </c>
    </row>
    <row r="98" spans="1:17" x14ac:dyDescent="0.3">
      <c r="A98" t="s">
        <v>106</v>
      </c>
      <c r="B98" s="2">
        <v>45742</v>
      </c>
      <c r="C98" t="s">
        <v>514</v>
      </c>
      <c r="D98" t="s">
        <v>516</v>
      </c>
      <c r="E98">
        <v>5005.79</v>
      </c>
      <c r="F98">
        <v>4891.91</v>
      </c>
      <c r="G98">
        <v>58155</v>
      </c>
      <c r="H98">
        <v>2713</v>
      </c>
      <c r="I98">
        <v>76</v>
      </c>
      <c r="J98">
        <v>1589.54</v>
      </c>
      <c r="K98">
        <f t="shared" si="7"/>
        <v>4.6651190783251653E-2</v>
      </c>
      <c r="L98">
        <f t="shared" si="8"/>
        <v>1.8031367489863619</v>
      </c>
      <c r="M98">
        <f t="shared" si="9"/>
        <v>64.367236842105257</v>
      </c>
      <c r="N98">
        <f t="shared" si="10"/>
        <v>0.32493238837182203</v>
      </c>
      <c r="O98">
        <f t="shared" si="11"/>
        <v>-3302.37</v>
      </c>
      <c r="P98">
        <f t="shared" si="12"/>
        <v>-207.75633202058458</v>
      </c>
      <c r="Q98" s="4" t="str">
        <f t="shared" si="13"/>
        <v>2025-03</v>
      </c>
    </row>
    <row r="99" spans="1:17" x14ac:dyDescent="0.3">
      <c r="A99" t="s">
        <v>107</v>
      </c>
      <c r="B99" s="2">
        <v>45668</v>
      </c>
      <c r="C99" t="s">
        <v>511</v>
      </c>
      <c r="D99" t="s">
        <v>518</v>
      </c>
      <c r="E99">
        <v>3261.44</v>
      </c>
      <c r="F99">
        <v>3414.01</v>
      </c>
      <c r="G99">
        <v>121100</v>
      </c>
      <c r="H99">
        <v>4154</v>
      </c>
      <c r="I99">
        <v>712</v>
      </c>
      <c r="J99">
        <v>21933.67</v>
      </c>
      <c r="K99">
        <f t="shared" si="7"/>
        <v>3.4302229562345167E-2</v>
      </c>
      <c r="L99">
        <f t="shared" si="8"/>
        <v>0.82186085700529621</v>
      </c>
      <c r="M99">
        <f t="shared" si="9"/>
        <v>4.7949578651685396</v>
      </c>
      <c r="N99">
        <f t="shared" si="10"/>
        <v>6.4246062548147185</v>
      </c>
      <c r="O99">
        <f t="shared" si="11"/>
        <v>18519.659999999996</v>
      </c>
      <c r="P99">
        <f t="shared" si="12"/>
        <v>84.434843781273258</v>
      </c>
      <c r="Q99" s="4" t="str">
        <f t="shared" si="13"/>
        <v>2025-01</v>
      </c>
    </row>
    <row r="100" spans="1:17" x14ac:dyDescent="0.3">
      <c r="A100" t="s">
        <v>108</v>
      </c>
      <c r="B100" s="2">
        <v>45791</v>
      </c>
      <c r="C100" t="s">
        <v>513</v>
      </c>
      <c r="D100" t="s">
        <v>518</v>
      </c>
      <c r="E100">
        <v>3889.42</v>
      </c>
      <c r="F100">
        <v>3720.9</v>
      </c>
      <c r="G100">
        <v>129730</v>
      </c>
      <c r="H100">
        <v>3017</v>
      </c>
      <c r="I100">
        <v>425</v>
      </c>
      <c r="J100">
        <v>18317.419999999998</v>
      </c>
      <c r="K100">
        <f t="shared" si="7"/>
        <v>2.3255993216680797E-2</v>
      </c>
      <c r="L100">
        <f t="shared" si="8"/>
        <v>1.2333112363274776</v>
      </c>
      <c r="M100">
        <f t="shared" si="9"/>
        <v>8.7550588235294118</v>
      </c>
      <c r="N100">
        <f t="shared" si="10"/>
        <v>4.9228466231288124</v>
      </c>
      <c r="O100">
        <f t="shared" si="11"/>
        <v>14596.519999999999</v>
      </c>
      <c r="P100">
        <f t="shared" si="12"/>
        <v>79.686549743359052</v>
      </c>
      <c r="Q100" s="4" t="str">
        <f t="shared" si="13"/>
        <v>2025-05</v>
      </c>
    </row>
    <row r="101" spans="1:17" x14ac:dyDescent="0.3">
      <c r="A101" t="s">
        <v>109</v>
      </c>
      <c r="B101" s="2">
        <v>45720</v>
      </c>
      <c r="C101" t="s">
        <v>510</v>
      </c>
      <c r="D101" t="s">
        <v>515</v>
      </c>
      <c r="E101">
        <v>4510.75</v>
      </c>
      <c r="F101">
        <v>4451.51</v>
      </c>
      <c r="G101">
        <v>51577</v>
      </c>
      <c r="H101">
        <v>1434</v>
      </c>
      <c r="I101">
        <v>154</v>
      </c>
      <c r="J101">
        <v>3474.31</v>
      </c>
      <c r="K101">
        <f t="shared" si="7"/>
        <v>2.7803090524846346E-2</v>
      </c>
      <c r="L101">
        <f t="shared" si="8"/>
        <v>3.1042608089260812</v>
      </c>
      <c r="M101">
        <f t="shared" si="9"/>
        <v>28.905909090909091</v>
      </c>
      <c r="N101">
        <f t="shared" si="10"/>
        <v>0.78047898353592371</v>
      </c>
      <c r="O101">
        <f t="shared" si="11"/>
        <v>-977.20000000000027</v>
      </c>
      <c r="P101">
        <f t="shared" si="12"/>
        <v>-28.126448129268844</v>
      </c>
      <c r="Q101" s="4" t="str">
        <f t="shared" si="13"/>
        <v>2025-03</v>
      </c>
    </row>
    <row r="102" spans="1:17" x14ac:dyDescent="0.3">
      <c r="A102" t="s">
        <v>110</v>
      </c>
      <c r="B102" s="2">
        <v>45698</v>
      </c>
      <c r="C102" t="s">
        <v>510</v>
      </c>
      <c r="D102" t="s">
        <v>515</v>
      </c>
      <c r="E102">
        <v>3361.77</v>
      </c>
      <c r="F102">
        <v>3225.3</v>
      </c>
      <c r="G102">
        <v>147591</v>
      </c>
      <c r="H102">
        <v>4755</v>
      </c>
      <c r="I102">
        <v>277</v>
      </c>
      <c r="J102">
        <v>10032.68</v>
      </c>
      <c r="K102">
        <f t="shared" si="7"/>
        <v>3.2217411630790498E-2</v>
      </c>
      <c r="L102">
        <f t="shared" si="8"/>
        <v>0.67829652996845424</v>
      </c>
      <c r="M102">
        <f t="shared" si="9"/>
        <v>11.643682310469314</v>
      </c>
      <c r="N102">
        <f t="shared" si="10"/>
        <v>3.1106191672092516</v>
      </c>
      <c r="O102">
        <f t="shared" si="11"/>
        <v>6807.38</v>
      </c>
      <c r="P102">
        <f t="shared" si="12"/>
        <v>67.85205946965317</v>
      </c>
      <c r="Q102" s="4" t="str">
        <f t="shared" si="13"/>
        <v>2025-02</v>
      </c>
    </row>
    <row r="103" spans="1:17" x14ac:dyDescent="0.3">
      <c r="A103" t="s">
        <v>111</v>
      </c>
      <c r="B103" s="2">
        <v>45668</v>
      </c>
      <c r="C103" t="s">
        <v>513</v>
      </c>
      <c r="D103" t="s">
        <v>517</v>
      </c>
      <c r="E103">
        <v>7462.01</v>
      </c>
      <c r="F103">
        <v>7595.04</v>
      </c>
      <c r="G103">
        <v>189630</v>
      </c>
      <c r="H103">
        <v>2389</v>
      </c>
      <c r="I103">
        <v>268</v>
      </c>
      <c r="J103">
        <v>13205.85</v>
      </c>
      <c r="K103">
        <f t="shared" si="7"/>
        <v>1.2598217581606286E-2</v>
      </c>
      <c r="L103">
        <f t="shared" si="8"/>
        <v>3.1791712013394724</v>
      </c>
      <c r="M103">
        <f t="shared" si="9"/>
        <v>28.339701492537312</v>
      </c>
      <c r="N103">
        <f t="shared" si="10"/>
        <v>1.7387466030461987</v>
      </c>
      <c r="O103">
        <f t="shared" si="11"/>
        <v>5610.81</v>
      </c>
      <c r="P103">
        <f t="shared" si="12"/>
        <v>42.487306761776033</v>
      </c>
      <c r="Q103" s="4" t="str">
        <f t="shared" si="13"/>
        <v>2025-01</v>
      </c>
    </row>
    <row r="104" spans="1:17" x14ac:dyDescent="0.3">
      <c r="A104" t="s">
        <v>112</v>
      </c>
      <c r="B104" s="2">
        <v>45709</v>
      </c>
      <c r="C104" t="s">
        <v>514</v>
      </c>
      <c r="D104" t="s">
        <v>515</v>
      </c>
      <c r="E104">
        <v>6614.1</v>
      </c>
      <c r="F104">
        <v>5932.1</v>
      </c>
      <c r="G104">
        <v>175761</v>
      </c>
      <c r="H104">
        <v>4515</v>
      </c>
      <c r="I104">
        <v>649</v>
      </c>
      <c r="J104">
        <v>28462.28</v>
      </c>
      <c r="K104">
        <f t="shared" si="7"/>
        <v>2.5688292624643692E-2</v>
      </c>
      <c r="L104">
        <f t="shared" si="8"/>
        <v>1.3138648947951275</v>
      </c>
      <c r="M104">
        <f t="shared" si="9"/>
        <v>9.1403697996918343</v>
      </c>
      <c r="N104">
        <f t="shared" si="10"/>
        <v>4.7980108224743336</v>
      </c>
      <c r="O104">
        <f t="shared" si="11"/>
        <v>22530.18</v>
      </c>
      <c r="P104">
        <f t="shared" si="12"/>
        <v>79.158029504312381</v>
      </c>
      <c r="Q104" s="4" t="str">
        <f t="shared" si="13"/>
        <v>2025-02</v>
      </c>
    </row>
    <row r="105" spans="1:17" x14ac:dyDescent="0.3">
      <c r="A105" t="s">
        <v>113</v>
      </c>
      <c r="B105" s="2">
        <v>45690</v>
      </c>
      <c r="C105" t="s">
        <v>513</v>
      </c>
      <c r="D105" t="s">
        <v>515</v>
      </c>
      <c r="E105">
        <v>4895.83</v>
      </c>
      <c r="F105">
        <v>4561.3999999999996</v>
      </c>
      <c r="G105">
        <v>151629</v>
      </c>
      <c r="H105">
        <v>4739</v>
      </c>
      <c r="I105">
        <v>583</v>
      </c>
      <c r="J105">
        <v>13032.2</v>
      </c>
      <c r="K105">
        <f t="shared" si="7"/>
        <v>3.1253915807662125E-2</v>
      </c>
      <c r="L105">
        <f t="shared" si="8"/>
        <v>0.96252373918548206</v>
      </c>
      <c r="M105">
        <f t="shared" si="9"/>
        <v>7.8240137221269288</v>
      </c>
      <c r="N105">
        <f t="shared" si="10"/>
        <v>2.8570614285087914</v>
      </c>
      <c r="O105">
        <f t="shared" si="11"/>
        <v>8470.8000000000011</v>
      </c>
      <c r="P105">
        <f t="shared" si="12"/>
        <v>64.999002470803092</v>
      </c>
      <c r="Q105" s="4" t="str">
        <f t="shared" si="13"/>
        <v>2025-02</v>
      </c>
    </row>
    <row r="106" spans="1:17" x14ac:dyDescent="0.3">
      <c r="A106" t="s">
        <v>114</v>
      </c>
      <c r="B106" s="2">
        <v>45805</v>
      </c>
      <c r="C106" t="s">
        <v>512</v>
      </c>
      <c r="D106" t="s">
        <v>518</v>
      </c>
      <c r="E106">
        <v>3177.46</v>
      </c>
      <c r="F106">
        <v>3459.6</v>
      </c>
      <c r="G106">
        <v>120702</v>
      </c>
      <c r="H106">
        <v>2467</v>
      </c>
      <c r="I106">
        <v>288</v>
      </c>
      <c r="J106">
        <v>12982.87</v>
      </c>
      <c r="K106">
        <f t="shared" si="7"/>
        <v>2.0438766549021558E-2</v>
      </c>
      <c r="L106">
        <f t="shared" si="8"/>
        <v>1.4023510336441021</v>
      </c>
      <c r="M106">
        <f t="shared" si="9"/>
        <v>12.012499999999999</v>
      </c>
      <c r="N106">
        <f t="shared" si="10"/>
        <v>3.7527084055960231</v>
      </c>
      <c r="O106">
        <f t="shared" si="11"/>
        <v>9523.27</v>
      </c>
      <c r="P106">
        <f t="shared" si="12"/>
        <v>73.352579206292603</v>
      </c>
      <c r="Q106" s="4" t="str">
        <f t="shared" si="13"/>
        <v>2025-05</v>
      </c>
    </row>
    <row r="107" spans="1:17" x14ac:dyDescent="0.3">
      <c r="A107" t="s">
        <v>115</v>
      </c>
      <c r="B107" s="2">
        <v>45752</v>
      </c>
      <c r="C107" t="s">
        <v>510</v>
      </c>
      <c r="D107" t="s">
        <v>518</v>
      </c>
      <c r="E107">
        <v>7871.82</v>
      </c>
      <c r="F107">
        <v>7263.22</v>
      </c>
      <c r="G107">
        <v>176077</v>
      </c>
      <c r="H107">
        <v>2054</v>
      </c>
      <c r="I107">
        <v>402</v>
      </c>
      <c r="J107">
        <v>10129.93</v>
      </c>
      <c r="K107">
        <f t="shared" si="7"/>
        <v>1.166535095441199E-2</v>
      </c>
      <c r="L107">
        <f t="shared" si="8"/>
        <v>3.5361343719571567</v>
      </c>
      <c r="M107">
        <f t="shared" si="9"/>
        <v>18.06771144278607</v>
      </c>
      <c r="N107">
        <f t="shared" si="10"/>
        <v>1.3946885816483598</v>
      </c>
      <c r="O107">
        <f t="shared" si="11"/>
        <v>2866.71</v>
      </c>
      <c r="P107">
        <f t="shared" si="12"/>
        <v>28.299405820178418</v>
      </c>
      <c r="Q107" s="4" t="str">
        <f t="shared" si="13"/>
        <v>2025-04</v>
      </c>
    </row>
    <row r="108" spans="1:17" x14ac:dyDescent="0.3">
      <c r="A108" t="s">
        <v>116</v>
      </c>
      <c r="B108" s="2">
        <v>45774</v>
      </c>
      <c r="C108" t="s">
        <v>514</v>
      </c>
      <c r="D108" t="s">
        <v>516</v>
      </c>
      <c r="E108">
        <v>4095.06</v>
      </c>
      <c r="F108">
        <v>3583.48</v>
      </c>
      <c r="G108">
        <v>134667</v>
      </c>
      <c r="H108">
        <v>4062</v>
      </c>
      <c r="I108">
        <v>556</v>
      </c>
      <c r="J108">
        <v>20281.099999999999</v>
      </c>
      <c r="K108">
        <f t="shared" si="7"/>
        <v>3.0163291675020607E-2</v>
      </c>
      <c r="L108">
        <f t="shared" si="8"/>
        <v>0.88219596258000987</v>
      </c>
      <c r="M108">
        <f t="shared" si="9"/>
        <v>6.445107913669065</v>
      </c>
      <c r="N108">
        <f t="shared" si="10"/>
        <v>5.6596102113029785</v>
      </c>
      <c r="O108">
        <f t="shared" si="11"/>
        <v>16697.62</v>
      </c>
      <c r="P108">
        <f t="shared" si="12"/>
        <v>82.330938657173419</v>
      </c>
      <c r="Q108" s="4" t="str">
        <f t="shared" si="13"/>
        <v>2025-04</v>
      </c>
    </row>
    <row r="109" spans="1:17" x14ac:dyDescent="0.3">
      <c r="A109" t="s">
        <v>117</v>
      </c>
      <c r="B109" s="2">
        <v>45716</v>
      </c>
      <c r="C109" t="s">
        <v>513</v>
      </c>
      <c r="D109" t="s">
        <v>517</v>
      </c>
      <c r="E109">
        <v>8002.17</v>
      </c>
      <c r="F109">
        <v>7986.64</v>
      </c>
      <c r="G109">
        <v>178492</v>
      </c>
      <c r="H109">
        <v>2018</v>
      </c>
      <c r="I109">
        <v>385</v>
      </c>
      <c r="J109">
        <v>10933.24</v>
      </c>
      <c r="K109">
        <f t="shared" si="7"/>
        <v>1.1305828832664769E-2</v>
      </c>
      <c r="L109">
        <f t="shared" si="8"/>
        <v>3.9577006937561943</v>
      </c>
      <c r="M109">
        <f t="shared" si="9"/>
        <v>20.744519480519482</v>
      </c>
      <c r="N109">
        <f t="shared" si="10"/>
        <v>1.368941131689922</v>
      </c>
      <c r="O109">
        <f t="shared" si="11"/>
        <v>2946.5999999999995</v>
      </c>
      <c r="P109">
        <f t="shared" si="12"/>
        <v>26.950839824242394</v>
      </c>
      <c r="Q109" s="4" t="str">
        <f t="shared" si="13"/>
        <v>2025-02</v>
      </c>
    </row>
    <row r="110" spans="1:17" x14ac:dyDescent="0.3">
      <c r="A110" t="s">
        <v>118</v>
      </c>
      <c r="B110" s="2">
        <v>45775</v>
      </c>
      <c r="C110" t="s">
        <v>512</v>
      </c>
      <c r="D110" t="s">
        <v>517</v>
      </c>
      <c r="E110">
        <v>9684.06</v>
      </c>
      <c r="F110">
        <v>9891</v>
      </c>
      <c r="G110">
        <v>145812</v>
      </c>
      <c r="H110">
        <v>2588</v>
      </c>
      <c r="I110">
        <v>340</v>
      </c>
      <c r="J110">
        <v>12454.41</v>
      </c>
      <c r="K110">
        <f t="shared" si="7"/>
        <v>1.7748882122184732E-2</v>
      </c>
      <c r="L110">
        <f t="shared" si="8"/>
        <v>3.821870170015456</v>
      </c>
      <c r="M110">
        <f t="shared" si="9"/>
        <v>29.091176470588234</v>
      </c>
      <c r="N110">
        <f t="shared" si="10"/>
        <v>1.2591659084015772</v>
      </c>
      <c r="O110">
        <f t="shared" si="11"/>
        <v>2563.41</v>
      </c>
      <c r="P110">
        <f t="shared" si="12"/>
        <v>20.582347939404595</v>
      </c>
      <c r="Q110" s="4" t="str">
        <f t="shared" si="13"/>
        <v>2025-04</v>
      </c>
    </row>
    <row r="111" spans="1:17" x14ac:dyDescent="0.3">
      <c r="A111" t="s">
        <v>119</v>
      </c>
      <c r="B111" s="2">
        <v>45810</v>
      </c>
      <c r="C111" t="s">
        <v>512</v>
      </c>
      <c r="D111" t="s">
        <v>515</v>
      </c>
      <c r="E111">
        <v>7282.05</v>
      </c>
      <c r="F111">
        <v>6742.3</v>
      </c>
      <c r="G111">
        <v>186329</v>
      </c>
      <c r="H111">
        <v>2426</v>
      </c>
      <c r="I111">
        <v>475</v>
      </c>
      <c r="J111">
        <v>13030.17</v>
      </c>
      <c r="K111">
        <f t="shared" si="7"/>
        <v>1.3019980786673036E-2</v>
      </c>
      <c r="L111">
        <f t="shared" si="8"/>
        <v>2.7791838417147567</v>
      </c>
      <c r="M111">
        <f t="shared" si="9"/>
        <v>14.194315789473684</v>
      </c>
      <c r="N111">
        <f t="shared" si="10"/>
        <v>1.9326001512836866</v>
      </c>
      <c r="O111">
        <f t="shared" si="11"/>
        <v>6287.87</v>
      </c>
      <c r="P111">
        <f t="shared" si="12"/>
        <v>48.256239174162729</v>
      </c>
      <c r="Q111" s="4" t="str">
        <f t="shared" si="13"/>
        <v>2025-06</v>
      </c>
    </row>
    <row r="112" spans="1:17" x14ac:dyDescent="0.3">
      <c r="A112" t="s">
        <v>120</v>
      </c>
      <c r="B112" s="2">
        <v>45640</v>
      </c>
      <c r="C112" t="s">
        <v>513</v>
      </c>
      <c r="D112" t="s">
        <v>517</v>
      </c>
      <c r="E112">
        <v>5491.81</v>
      </c>
      <c r="F112">
        <v>5642.03</v>
      </c>
      <c r="G112">
        <v>147883</v>
      </c>
      <c r="H112">
        <v>1463</v>
      </c>
      <c r="I112">
        <v>163</v>
      </c>
      <c r="J112">
        <v>3330.38</v>
      </c>
      <c r="K112">
        <f t="shared" si="7"/>
        <v>9.8929559178539787E-3</v>
      </c>
      <c r="L112">
        <f t="shared" si="8"/>
        <v>3.85647983595352</v>
      </c>
      <c r="M112">
        <f t="shared" si="9"/>
        <v>34.613680981595088</v>
      </c>
      <c r="N112">
        <f t="shared" si="10"/>
        <v>0.59028044870374674</v>
      </c>
      <c r="O112">
        <f t="shared" si="11"/>
        <v>-2311.6499999999996</v>
      </c>
      <c r="P112">
        <f t="shared" si="12"/>
        <v>-69.410998144355887</v>
      </c>
      <c r="Q112" s="4" t="str">
        <f t="shared" si="13"/>
        <v>2024-12</v>
      </c>
    </row>
    <row r="113" spans="1:17" x14ac:dyDescent="0.3">
      <c r="A113" t="s">
        <v>121</v>
      </c>
      <c r="B113" s="2">
        <v>45807</v>
      </c>
      <c r="C113" t="s">
        <v>512</v>
      </c>
      <c r="D113" t="s">
        <v>515</v>
      </c>
      <c r="E113">
        <v>3812.51</v>
      </c>
      <c r="F113">
        <v>3102.62</v>
      </c>
      <c r="G113">
        <v>134164</v>
      </c>
      <c r="H113">
        <v>3192</v>
      </c>
      <c r="I113">
        <v>339</v>
      </c>
      <c r="J113">
        <v>7194.21</v>
      </c>
      <c r="K113">
        <f t="shared" si="7"/>
        <v>2.3791777227870368E-2</v>
      </c>
      <c r="L113">
        <f t="shared" si="8"/>
        <v>0.97199874686716792</v>
      </c>
      <c r="M113">
        <f t="shared" si="9"/>
        <v>9.1522713864306784</v>
      </c>
      <c r="N113">
        <f t="shared" si="10"/>
        <v>2.318753182793897</v>
      </c>
      <c r="O113">
        <f t="shared" si="11"/>
        <v>4091.59</v>
      </c>
      <c r="P113">
        <f t="shared" si="12"/>
        <v>56.873374560931644</v>
      </c>
      <c r="Q113" s="4" t="str">
        <f t="shared" si="13"/>
        <v>2025-05</v>
      </c>
    </row>
    <row r="114" spans="1:17" x14ac:dyDescent="0.3">
      <c r="A114" t="s">
        <v>122</v>
      </c>
      <c r="B114" s="2">
        <v>45639</v>
      </c>
      <c r="C114" t="s">
        <v>510</v>
      </c>
      <c r="D114" t="s">
        <v>515</v>
      </c>
      <c r="E114">
        <v>8988.2199999999993</v>
      </c>
      <c r="F114">
        <v>9087.9699999999993</v>
      </c>
      <c r="G114">
        <v>127750</v>
      </c>
      <c r="H114">
        <v>5551</v>
      </c>
      <c r="I114">
        <v>393</v>
      </c>
      <c r="J114">
        <v>13450.51</v>
      </c>
      <c r="K114">
        <f t="shared" si="7"/>
        <v>4.345205479452055E-2</v>
      </c>
      <c r="L114">
        <f t="shared" si="8"/>
        <v>1.6371770852098719</v>
      </c>
      <c r="M114">
        <f t="shared" si="9"/>
        <v>23.124605597964376</v>
      </c>
      <c r="N114">
        <f t="shared" si="10"/>
        <v>1.4800345951846232</v>
      </c>
      <c r="O114">
        <f t="shared" si="11"/>
        <v>4362.5400000000009</v>
      </c>
      <c r="P114">
        <f t="shared" si="12"/>
        <v>32.434011795835254</v>
      </c>
      <c r="Q114" s="4" t="str">
        <f t="shared" si="13"/>
        <v>2024-12</v>
      </c>
    </row>
    <row r="115" spans="1:17" x14ac:dyDescent="0.3">
      <c r="A115" t="s">
        <v>123</v>
      </c>
      <c r="B115" s="2">
        <v>45639</v>
      </c>
      <c r="C115" t="s">
        <v>513</v>
      </c>
      <c r="D115" t="s">
        <v>518</v>
      </c>
      <c r="E115">
        <v>3684.84</v>
      </c>
      <c r="F115">
        <v>3491.33</v>
      </c>
      <c r="G115">
        <v>99153</v>
      </c>
      <c r="H115">
        <v>2036</v>
      </c>
      <c r="I115">
        <v>382</v>
      </c>
      <c r="J115">
        <v>13065.99</v>
      </c>
      <c r="K115">
        <f t="shared" si="7"/>
        <v>2.0533922322067914E-2</v>
      </c>
      <c r="L115">
        <f t="shared" si="8"/>
        <v>1.7147986247544205</v>
      </c>
      <c r="M115">
        <f t="shared" si="9"/>
        <v>9.1396073298429314</v>
      </c>
      <c r="N115">
        <f t="shared" si="10"/>
        <v>3.7424104854024112</v>
      </c>
      <c r="O115">
        <f t="shared" si="11"/>
        <v>9574.66</v>
      </c>
      <c r="P115">
        <f t="shared" si="12"/>
        <v>73.279254002184302</v>
      </c>
      <c r="Q115" s="4" t="str">
        <f t="shared" si="13"/>
        <v>2024-12</v>
      </c>
    </row>
    <row r="116" spans="1:17" x14ac:dyDescent="0.3">
      <c r="A116" t="s">
        <v>124</v>
      </c>
      <c r="B116" s="2">
        <v>45754</v>
      </c>
      <c r="C116" t="s">
        <v>513</v>
      </c>
      <c r="D116" t="s">
        <v>518</v>
      </c>
      <c r="E116">
        <v>4212.41</v>
      </c>
      <c r="F116">
        <v>3918.2</v>
      </c>
      <c r="G116">
        <v>171690</v>
      </c>
      <c r="H116">
        <v>1892</v>
      </c>
      <c r="I116">
        <v>232</v>
      </c>
      <c r="J116">
        <v>7413.59</v>
      </c>
      <c r="K116">
        <f t="shared" si="7"/>
        <v>1.1019861378065118E-2</v>
      </c>
      <c r="L116">
        <f t="shared" si="8"/>
        <v>2.0709302325581396</v>
      </c>
      <c r="M116">
        <f t="shared" si="9"/>
        <v>16.888793103448275</v>
      </c>
      <c r="N116">
        <f t="shared" si="10"/>
        <v>1.8920907559593692</v>
      </c>
      <c r="O116">
        <f t="shared" si="11"/>
        <v>3495.3900000000003</v>
      </c>
      <c r="P116">
        <f t="shared" si="12"/>
        <v>47.148412577442237</v>
      </c>
      <c r="Q116" s="4" t="str">
        <f t="shared" si="13"/>
        <v>2025-04</v>
      </c>
    </row>
    <row r="117" spans="1:17" x14ac:dyDescent="0.3">
      <c r="A117" t="s">
        <v>125</v>
      </c>
      <c r="B117" s="2">
        <v>45667</v>
      </c>
      <c r="C117" t="s">
        <v>512</v>
      </c>
      <c r="D117" t="s">
        <v>518</v>
      </c>
      <c r="E117">
        <v>7310.95</v>
      </c>
      <c r="F117">
        <v>7241.7</v>
      </c>
      <c r="G117">
        <v>196304</v>
      </c>
      <c r="H117">
        <v>8710</v>
      </c>
      <c r="I117">
        <v>965</v>
      </c>
      <c r="J117">
        <v>20611.55</v>
      </c>
      <c r="K117">
        <f t="shared" si="7"/>
        <v>4.436995680169533E-2</v>
      </c>
      <c r="L117">
        <f t="shared" si="8"/>
        <v>0.83142365097588977</v>
      </c>
      <c r="M117">
        <f t="shared" si="9"/>
        <v>7.5043523316062171</v>
      </c>
      <c r="N117">
        <f t="shared" si="10"/>
        <v>2.846230857395363</v>
      </c>
      <c r="O117">
        <f t="shared" si="11"/>
        <v>13369.849999999999</v>
      </c>
      <c r="P117">
        <f t="shared" si="12"/>
        <v>64.865815525761036</v>
      </c>
      <c r="Q117" s="4" t="str">
        <f t="shared" si="13"/>
        <v>2025-01</v>
      </c>
    </row>
    <row r="118" spans="1:17" x14ac:dyDescent="0.3">
      <c r="A118" t="s">
        <v>126</v>
      </c>
      <c r="B118" s="2">
        <v>45735</v>
      </c>
      <c r="C118" t="s">
        <v>513</v>
      </c>
      <c r="D118" t="s">
        <v>518</v>
      </c>
      <c r="E118">
        <v>5622.29</v>
      </c>
      <c r="F118">
        <v>5553.46</v>
      </c>
      <c r="G118">
        <v>184625</v>
      </c>
      <c r="H118">
        <v>5858</v>
      </c>
      <c r="I118">
        <v>179</v>
      </c>
      <c r="J118">
        <v>6281.84</v>
      </c>
      <c r="K118">
        <f t="shared" si="7"/>
        <v>3.17291807718348E-2</v>
      </c>
      <c r="L118">
        <f t="shared" si="8"/>
        <v>0.94801297371116422</v>
      </c>
      <c r="M118">
        <f t="shared" si="9"/>
        <v>31.024916201117318</v>
      </c>
      <c r="N118">
        <f t="shared" si="10"/>
        <v>1.1311578727496012</v>
      </c>
      <c r="O118">
        <f t="shared" si="11"/>
        <v>728.38000000000011</v>
      </c>
      <c r="P118">
        <f t="shared" si="12"/>
        <v>11.595010379124588</v>
      </c>
      <c r="Q118" s="4" t="str">
        <f t="shared" si="13"/>
        <v>2025-03</v>
      </c>
    </row>
    <row r="119" spans="1:17" x14ac:dyDescent="0.3">
      <c r="A119" t="s">
        <v>127</v>
      </c>
      <c r="B119" s="2">
        <v>45719</v>
      </c>
      <c r="C119" t="s">
        <v>510</v>
      </c>
      <c r="D119" t="s">
        <v>517</v>
      </c>
      <c r="E119">
        <v>8995.43</v>
      </c>
      <c r="F119">
        <v>8973.91</v>
      </c>
      <c r="G119">
        <v>65860</v>
      </c>
      <c r="H119">
        <v>1196</v>
      </c>
      <c r="I119">
        <v>210</v>
      </c>
      <c r="J119">
        <v>5226.49</v>
      </c>
      <c r="K119">
        <f t="shared" si="7"/>
        <v>1.815973276647434E-2</v>
      </c>
      <c r="L119">
        <f t="shared" si="8"/>
        <v>7.5032692307692308</v>
      </c>
      <c r="M119">
        <f t="shared" si="9"/>
        <v>42.732904761904763</v>
      </c>
      <c r="N119">
        <f t="shared" si="10"/>
        <v>0.58240945139855427</v>
      </c>
      <c r="O119">
        <f t="shared" si="11"/>
        <v>-3747.42</v>
      </c>
      <c r="P119">
        <f t="shared" si="12"/>
        <v>-71.700510285105295</v>
      </c>
      <c r="Q119" s="4" t="str">
        <f t="shared" si="13"/>
        <v>2025-03</v>
      </c>
    </row>
    <row r="120" spans="1:17" x14ac:dyDescent="0.3">
      <c r="A120" t="s">
        <v>128</v>
      </c>
      <c r="B120" s="2">
        <v>45697</v>
      </c>
      <c r="C120" t="s">
        <v>513</v>
      </c>
      <c r="D120" t="s">
        <v>515</v>
      </c>
      <c r="E120">
        <v>3493.98</v>
      </c>
      <c r="F120">
        <v>3468.56</v>
      </c>
      <c r="G120">
        <v>149919</v>
      </c>
      <c r="H120">
        <v>5922</v>
      </c>
      <c r="I120">
        <v>705</v>
      </c>
      <c r="J120">
        <v>14660.71</v>
      </c>
      <c r="K120">
        <f t="shared" si="7"/>
        <v>3.9501330718588037E-2</v>
      </c>
      <c r="L120">
        <f t="shared" si="8"/>
        <v>0.58570753123944608</v>
      </c>
      <c r="M120">
        <f t="shared" si="9"/>
        <v>4.9199432624113477</v>
      </c>
      <c r="N120">
        <f t="shared" si="10"/>
        <v>4.2267425098599993</v>
      </c>
      <c r="O120">
        <f t="shared" si="11"/>
        <v>11192.15</v>
      </c>
      <c r="P120">
        <f t="shared" si="12"/>
        <v>76.341118540643677</v>
      </c>
      <c r="Q120" s="4" t="str">
        <f t="shared" si="13"/>
        <v>2025-02</v>
      </c>
    </row>
    <row r="121" spans="1:17" x14ac:dyDescent="0.3">
      <c r="A121" t="s">
        <v>129</v>
      </c>
      <c r="B121" s="2">
        <v>45797</v>
      </c>
      <c r="C121" t="s">
        <v>514</v>
      </c>
      <c r="D121" t="s">
        <v>515</v>
      </c>
      <c r="E121">
        <v>7100.43</v>
      </c>
      <c r="F121">
        <v>7683.16</v>
      </c>
      <c r="G121">
        <v>124319</v>
      </c>
      <c r="H121">
        <v>3473</v>
      </c>
      <c r="I121">
        <v>495</v>
      </c>
      <c r="J121">
        <v>18445.79</v>
      </c>
      <c r="K121">
        <f t="shared" si="7"/>
        <v>2.7936196397976173E-2</v>
      </c>
      <c r="L121">
        <f t="shared" si="8"/>
        <v>2.2122545349841634</v>
      </c>
      <c r="M121">
        <f t="shared" si="9"/>
        <v>15.521535353535354</v>
      </c>
      <c r="N121">
        <f t="shared" si="10"/>
        <v>2.4008077405650803</v>
      </c>
      <c r="O121">
        <f t="shared" si="11"/>
        <v>10762.630000000001</v>
      </c>
      <c r="P121">
        <f t="shared" si="12"/>
        <v>58.347351888967623</v>
      </c>
      <c r="Q121" s="4" t="str">
        <f t="shared" si="13"/>
        <v>2025-05</v>
      </c>
    </row>
    <row r="122" spans="1:17" x14ac:dyDescent="0.3">
      <c r="A122" t="s">
        <v>130</v>
      </c>
      <c r="B122" s="2">
        <v>45784</v>
      </c>
      <c r="C122" t="s">
        <v>510</v>
      </c>
      <c r="D122" t="s">
        <v>517</v>
      </c>
      <c r="E122">
        <v>5717.19</v>
      </c>
      <c r="F122">
        <v>5677.09</v>
      </c>
      <c r="G122">
        <v>149623</v>
      </c>
      <c r="H122">
        <v>2483</v>
      </c>
      <c r="I122">
        <v>463</v>
      </c>
      <c r="J122">
        <v>15625.13</v>
      </c>
      <c r="K122">
        <f t="shared" si="7"/>
        <v>1.6595042206077944E-2</v>
      </c>
      <c r="L122">
        <f t="shared" si="8"/>
        <v>2.2863834071687474</v>
      </c>
      <c r="M122">
        <f t="shared" si="9"/>
        <v>12.261533477321814</v>
      </c>
      <c r="N122">
        <f t="shared" si="10"/>
        <v>2.7523132449899506</v>
      </c>
      <c r="O122">
        <f t="shared" si="11"/>
        <v>9948.0399999999991</v>
      </c>
      <c r="P122">
        <f t="shared" si="12"/>
        <v>63.666926291173255</v>
      </c>
      <c r="Q122" s="4" t="str">
        <f t="shared" si="13"/>
        <v>2025-05</v>
      </c>
    </row>
    <row r="123" spans="1:17" x14ac:dyDescent="0.3">
      <c r="A123" t="s">
        <v>131</v>
      </c>
      <c r="B123" s="2">
        <v>45673</v>
      </c>
      <c r="C123" t="s">
        <v>513</v>
      </c>
      <c r="D123" t="s">
        <v>515</v>
      </c>
      <c r="E123">
        <v>6819.32</v>
      </c>
      <c r="F123">
        <v>7381.5</v>
      </c>
      <c r="G123">
        <v>53378</v>
      </c>
      <c r="H123">
        <v>2137</v>
      </c>
      <c r="I123">
        <v>410</v>
      </c>
      <c r="J123">
        <v>12949.06</v>
      </c>
      <c r="K123">
        <f t="shared" si="7"/>
        <v>4.0035220502828879E-2</v>
      </c>
      <c r="L123">
        <f t="shared" si="8"/>
        <v>3.4541413196069257</v>
      </c>
      <c r="M123">
        <f t="shared" si="9"/>
        <v>18.003658536585366</v>
      </c>
      <c r="N123">
        <f t="shared" si="10"/>
        <v>1.7542586195217773</v>
      </c>
      <c r="O123">
        <f t="shared" si="11"/>
        <v>5567.5599999999995</v>
      </c>
      <c r="P123">
        <f t="shared" si="12"/>
        <v>42.995862247916058</v>
      </c>
      <c r="Q123" s="4" t="str">
        <f t="shared" si="13"/>
        <v>2025-01</v>
      </c>
    </row>
    <row r="124" spans="1:17" x14ac:dyDescent="0.3">
      <c r="A124" t="s">
        <v>132</v>
      </c>
      <c r="B124" s="2">
        <v>45752</v>
      </c>
      <c r="C124" t="s">
        <v>512</v>
      </c>
      <c r="D124" t="s">
        <v>515</v>
      </c>
      <c r="E124">
        <v>9728.33</v>
      </c>
      <c r="F124">
        <v>10424.93</v>
      </c>
      <c r="G124">
        <v>165946</v>
      </c>
      <c r="H124">
        <v>4099</v>
      </c>
      <c r="I124">
        <v>151</v>
      </c>
      <c r="J124">
        <v>3906.93</v>
      </c>
      <c r="K124">
        <f t="shared" si="7"/>
        <v>2.4700806286382316E-2</v>
      </c>
      <c r="L124">
        <f t="shared" si="8"/>
        <v>2.5432861673578921</v>
      </c>
      <c r="M124">
        <f t="shared" si="9"/>
        <v>69.039271523178812</v>
      </c>
      <c r="N124">
        <f t="shared" si="10"/>
        <v>0.37476798405360995</v>
      </c>
      <c r="O124">
        <f t="shared" si="11"/>
        <v>-6518</v>
      </c>
      <c r="P124">
        <f t="shared" si="12"/>
        <v>-166.83175792757999</v>
      </c>
      <c r="Q124" s="4" t="str">
        <f t="shared" si="13"/>
        <v>2025-04</v>
      </c>
    </row>
    <row r="125" spans="1:17" x14ac:dyDescent="0.3">
      <c r="A125" t="s">
        <v>133</v>
      </c>
      <c r="B125" s="2">
        <v>45814</v>
      </c>
      <c r="C125" t="s">
        <v>512</v>
      </c>
      <c r="D125" t="s">
        <v>515</v>
      </c>
      <c r="E125">
        <v>3485.53</v>
      </c>
      <c r="F125">
        <v>2893.8</v>
      </c>
      <c r="G125">
        <v>66013</v>
      </c>
      <c r="H125">
        <v>1830</v>
      </c>
      <c r="I125">
        <v>275</v>
      </c>
      <c r="J125">
        <v>5650.33</v>
      </c>
      <c r="K125">
        <f t="shared" si="7"/>
        <v>2.7721812370290699E-2</v>
      </c>
      <c r="L125">
        <f t="shared" si="8"/>
        <v>1.5813114754098361</v>
      </c>
      <c r="M125">
        <f t="shared" si="9"/>
        <v>10.522909090909092</v>
      </c>
      <c r="N125">
        <f t="shared" si="10"/>
        <v>1.9525641025641025</v>
      </c>
      <c r="O125">
        <f t="shared" si="11"/>
        <v>2756.5299999999997</v>
      </c>
      <c r="P125">
        <f t="shared" si="12"/>
        <v>48.785292186474059</v>
      </c>
      <c r="Q125" s="4" t="str">
        <f t="shared" si="13"/>
        <v>2025-06</v>
      </c>
    </row>
    <row r="126" spans="1:17" x14ac:dyDescent="0.3">
      <c r="A126" t="s">
        <v>134</v>
      </c>
      <c r="B126" s="2">
        <v>45746</v>
      </c>
      <c r="C126" t="s">
        <v>510</v>
      </c>
      <c r="D126" t="s">
        <v>518</v>
      </c>
      <c r="E126">
        <v>3661.1</v>
      </c>
      <c r="F126">
        <v>3679.05</v>
      </c>
      <c r="G126">
        <v>163376</v>
      </c>
      <c r="H126">
        <v>7011</v>
      </c>
      <c r="I126">
        <v>514</v>
      </c>
      <c r="J126">
        <v>11377.73</v>
      </c>
      <c r="K126">
        <f t="shared" si="7"/>
        <v>4.2913279796298109E-2</v>
      </c>
      <c r="L126">
        <f t="shared" si="8"/>
        <v>0.52475395806589642</v>
      </c>
      <c r="M126">
        <f t="shared" si="9"/>
        <v>7.1576848249027245</v>
      </c>
      <c r="N126">
        <f t="shared" si="10"/>
        <v>3.0925728109158612</v>
      </c>
      <c r="O126">
        <f t="shared" si="11"/>
        <v>7698.6799999999994</v>
      </c>
      <c r="P126">
        <f t="shared" si="12"/>
        <v>67.664463825385198</v>
      </c>
      <c r="Q126" s="4" t="str">
        <f t="shared" si="13"/>
        <v>2025-03</v>
      </c>
    </row>
    <row r="127" spans="1:17" x14ac:dyDescent="0.3">
      <c r="A127" t="s">
        <v>135</v>
      </c>
      <c r="B127" s="2">
        <v>45766</v>
      </c>
      <c r="C127" t="s">
        <v>514</v>
      </c>
      <c r="D127" t="s">
        <v>517</v>
      </c>
      <c r="E127">
        <v>5232.83</v>
      </c>
      <c r="F127">
        <v>5512.59</v>
      </c>
      <c r="G127">
        <v>139628</v>
      </c>
      <c r="H127">
        <v>1738</v>
      </c>
      <c r="I127">
        <v>81</v>
      </c>
      <c r="J127">
        <v>1676.55</v>
      </c>
      <c r="K127">
        <f t="shared" si="7"/>
        <v>1.2447360128341021E-2</v>
      </c>
      <c r="L127">
        <f t="shared" si="8"/>
        <v>3.1718009205983893</v>
      </c>
      <c r="M127">
        <f t="shared" si="9"/>
        <v>68.056666666666672</v>
      </c>
      <c r="N127">
        <f t="shared" si="10"/>
        <v>0.30413108901623376</v>
      </c>
      <c r="O127">
        <f t="shared" si="11"/>
        <v>-3836.04</v>
      </c>
      <c r="P127">
        <f t="shared" si="12"/>
        <v>-228.80558289344188</v>
      </c>
      <c r="Q127" s="4" t="str">
        <f t="shared" si="13"/>
        <v>2025-04</v>
      </c>
    </row>
    <row r="128" spans="1:17" x14ac:dyDescent="0.3">
      <c r="A128" t="s">
        <v>136</v>
      </c>
      <c r="B128" s="2">
        <v>45777</v>
      </c>
      <c r="C128" t="s">
        <v>510</v>
      </c>
      <c r="D128" t="s">
        <v>516</v>
      </c>
      <c r="E128">
        <v>8701.2800000000007</v>
      </c>
      <c r="F128">
        <v>7696.77</v>
      </c>
      <c r="G128">
        <v>62770</v>
      </c>
      <c r="H128">
        <v>1245</v>
      </c>
      <c r="I128">
        <v>249</v>
      </c>
      <c r="J128">
        <v>5862.69</v>
      </c>
      <c r="K128">
        <f t="shared" si="7"/>
        <v>1.9834315755934362E-2</v>
      </c>
      <c r="L128">
        <f t="shared" si="8"/>
        <v>6.1821445783132534</v>
      </c>
      <c r="M128">
        <f t="shared" si="9"/>
        <v>30.910722891566266</v>
      </c>
      <c r="N128">
        <f t="shared" si="10"/>
        <v>0.76170783328591074</v>
      </c>
      <c r="O128">
        <f t="shared" si="11"/>
        <v>-1834.0800000000008</v>
      </c>
      <c r="P128">
        <f t="shared" si="12"/>
        <v>-31.283932802177855</v>
      </c>
      <c r="Q128" s="4" t="str">
        <f t="shared" si="13"/>
        <v>2025-04</v>
      </c>
    </row>
    <row r="129" spans="1:17" x14ac:dyDescent="0.3">
      <c r="A129" t="s">
        <v>137</v>
      </c>
      <c r="B129" s="2">
        <v>45698</v>
      </c>
      <c r="C129" t="s">
        <v>513</v>
      </c>
      <c r="D129" t="s">
        <v>517</v>
      </c>
      <c r="E129">
        <v>7877.16</v>
      </c>
      <c r="F129">
        <v>7788.01</v>
      </c>
      <c r="G129">
        <v>129840</v>
      </c>
      <c r="H129">
        <v>5797</v>
      </c>
      <c r="I129">
        <v>480</v>
      </c>
      <c r="J129">
        <v>22235.599999999999</v>
      </c>
      <c r="K129">
        <f t="shared" si="7"/>
        <v>4.4647258163894026E-2</v>
      </c>
      <c r="L129">
        <f t="shared" si="8"/>
        <v>1.3434552354666207</v>
      </c>
      <c r="M129">
        <f t="shared" si="9"/>
        <v>16.225020833333335</v>
      </c>
      <c r="N129">
        <f t="shared" si="10"/>
        <v>2.8551067602635332</v>
      </c>
      <c r="O129">
        <f t="shared" si="11"/>
        <v>14447.589999999998</v>
      </c>
      <c r="P129">
        <f t="shared" si="12"/>
        <v>64.975040025904406</v>
      </c>
      <c r="Q129" s="4" t="str">
        <f t="shared" si="13"/>
        <v>2025-02</v>
      </c>
    </row>
    <row r="130" spans="1:17" x14ac:dyDescent="0.3">
      <c r="A130" t="s">
        <v>138</v>
      </c>
      <c r="B130" s="2">
        <v>45680</v>
      </c>
      <c r="C130" t="s">
        <v>513</v>
      </c>
      <c r="D130" t="s">
        <v>518</v>
      </c>
      <c r="E130">
        <v>8145.5</v>
      </c>
      <c r="F130">
        <v>8479.83</v>
      </c>
      <c r="G130">
        <v>81087</v>
      </c>
      <c r="H130">
        <v>3895</v>
      </c>
      <c r="I130">
        <v>231</v>
      </c>
      <c r="J130">
        <v>6574.5</v>
      </c>
      <c r="K130">
        <f t="shared" si="7"/>
        <v>4.8034826790977592E-2</v>
      </c>
      <c r="L130">
        <f t="shared" si="8"/>
        <v>2.1771065468549424</v>
      </c>
      <c r="M130">
        <f t="shared" si="9"/>
        <v>36.709220779220779</v>
      </c>
      <c r="N130">
        <f t="shared" si="10"/>
        <v>0.77531035409907978</v>
      </c>
      <c r="O130">
        <f t="shared" si="11"/>
        <v>-1905.33</v>
      </c>
      <c r="P130">
        <f t="shared" si="12"/>
        <v>-28.980606890257814</v>
      </c>
      <c r="Q130" s="4" t="str">
        <f t="shared" si="13"/>
        <v>2025-01</v>
      </c>
    </row>
    <row r="131" spans="1:17" x14ac:dyDescent="0.3">
      <c r="A131" t="s">
        <v>139</v>
      </c>
      <c r="B131" s="2">
        <v>45744</v>
      </c>
      <c r="C131" t="s">
        <v>510</v>
      </c>
      <c r="D131" t="s">
        <v>517</v>
      </c>
      <c r="E131">
        <v>4242.08</v>
      </c>
      <c r="F131">
        <v>4348.91</v>
      </c>
      <c r="G131">
        <v>199475</v>
      </c>
      <c r="H131">
        <v>6783</v>
      </c>
      <c r="I131">
        <v>258</v>
      </c>
      <c r="J131">
        <v>11404.9</v>
      </c>
      <c r="K131">
        <f t="shared" ref="K131:K194" si="14">H131/G131</f>
        <v>3.4004261185612235E-2</v>
      </c>
      <c r="L131">
        <f t="shared" ref="L131:L194" si="15">F131/H131</f>
        <v>0.64114845938375353</v>
      </c>
      <c r="M131">
        <f t="shared" ref="M131:M194" si="16">F131/I131</f>
        <v>16.856240310077517</v>
      </c>
      <c r="N131">
        <f t="shared" ref="N131:N194" si="17">J131/F131</f>
        <v>2.6224732174268954</v>
      </c>
      <c r="O131">
        <f t="shared" ref="O131:O194" si="18">J131-F131</f>
        <v>7055.99</v>
      </c>
      <c r="P131">
        <f t="shared" ref="P131:P194" si="19">(O131/J131)*100</f>
        <v>61.868056712465687</v>
      </c>
      <c r="Q131" s="4" t="str">
        <f t="shared" ref="Q131:Q194" si="20">TEXT(B131,"yyyy-mm")</f>
        <v>2025-03</v>
      </c>
    </row>
    <row r="132" spans="1:17" x14ac:dyDescent="0.3">
      <c r="A132" t="s">
        <v>140</v>
      </c>
      <c r="B132" s="2">
        <v>45770</v>
      </c>
      <c r="C132" t="s">
        <v>514</v>
      </c>
      <c r="D132" t="s">
        <v>515</v>
      </c>
      <c r="E132">
        <v>9933.5400000000009</v>
      </c>
      <c r="F132">
        <v>9176.4599999999991</v>
      </c>
      <c r="G132">
        <v>197123</v>
      </c>
      <c r="H132">
        <v>3693</v>
      </c>
      <c r="I132">
        <v>271</v>
      </c>
      <c r="J132">
        <v>8444.51</v>
      </c>
      <c r="K132">
        <f t="shared" si="14"/>
        <v>1.8734495720945807E-2</v>
      </c>
      <c r="L132">
        <f t="shared" si="15"/>
        <v>2.4848253452477658</v>
      </c>
      <c r="M132">
        <f t="shared" si="16"/>
        <v>33.861476014760143</v>
      </c>
      <c r="N132">
        <f t="shared" si="17"/>
        <v>0.9202361259134787</v>
      </c>
      <c r="O132">
        <f t="shared" si="18"/>
        <v>-731.94999999999891</v>
      </c>
      <c r="P132">
        <f t="shared" si="19"/>
        <v>-8.6677616581660626</v>
      </c>
      <c r="Q132" s="4" t="str">
        <f t="shared" si="20"/>
        <v>2025-04</v>
      </c>
    </row>
    <row r="133" spans="1:17" x14ac:dyDescent="0.3">
      <c r="A133" t="s">
        <v>141</v>
      </c>
      <c r="B133" s="2">
        <v>45764</v>
      </c>
      <c r="C133" t="s">
        <v>511</v>
      </c>
      <c r="D133" t="s">
        <v>516</v>
      </c>
      <c r="E133">
        <v>8434.89</v>
      </c>
      <c r="F133">
        <v>7610.3</v>
      </c>
      <c r="G133">
        <v>139183</v>
      </c>
      <c r="H133">
        <v>5327</v>
      </c>
      <c r="I133">
        <v>212</v>
      </c>
      <c r="J133">
        <v>10159.620000000001</v>
      </c>
      <c r="K133">
        <f t="shared" si="14"/>
        <v>3.827335234906562E-2</v>
      </c>
      <c r="L133">
        <f t="shared" si="15"/>
        <v>1.4286277454477192</v>
      </c>
      <c r="M133">
        <f t="shared" si="16"/>
        <v>35.89764150943396</v>
      </c>
      <c r="N133">
        <f t="shared" si="17"/>
        <v>1.3349828521871674</v>
      </c>
      <c r="O133">
        <f t="shared" si="18"/>
        <v>2549.3200000000006</v>
      </c>
      <c r="P133">
        <f t="shared" si="19"/>
        <v>25.092670788868094</v>
      </c>
      <c r="Q133" s="4" t="str">
        <f t="shared" si="20"/>
        <v>2025-04</v>
      </c>
    </row>
    <row r="134" spans="1:17" x14ac:dyDescent="0.3">
      <c r="A134" t="s">
        <v>142</v>
      </c>
      <c r="B134" s="2">
        <v>45640</v>
      </c>
      <c r="C134" t="s">
        <v>511</v>
      </c>
      <c r="D134" t="s">
        <v>518</v>
      </c>
      <c r="E134">
        <v>9008.89</v>
      </c>
      <c r="F134">
        <v>8366.5400000000009</v>
      </c>
      <c r="G134">
        <v>144975</v>
      </c>
      <c r="H134">
        <v>7116</v>
      </c>
      <c r="I134">
        <v>119</v>
      </c>
      <c r="J134">
        <v>5060.6099999999997</v>
      </c>
      <c r="K134">
        <f t="shared" si="14"/>
        <v>4.9084324883600622E-2</v>
      </c>
      <c r="L134">
        <f t="shared" si="15"/>
        <v>1.175736368746487</v>
      </c>
      <c r="M134">
        <f t="shared" si="16"/>
        <v>70.307058823529417</v>
      </c>
      <c r="N134">
        <f t="shared" si="17"/>
        <v>0.60486294214812808</v>
      </c>
      <c r="O134">
        <f t="shared" si="18"/>
        <v>-3305.9300000000012</v>
      </c>
      <c r="P134">
        <f t="shared" si="19"/>
        <v>-65.326709625914688</v>
      </c>
      <c r="Q134" s="4" t="str">
        <f t="shared" si="20"/>
        <v>2024-12</v>
      </c>
    </row>
    <row r="135" spans="1:17" x14ac:dyDescent="0.3">
      <c r="A135" t="s">
        <v>143</v>
      </c>
      <c r="B135" s="2">
        <v>45713</v>
      </c>
      <c r="C135" t="s">
        <v>511</v>
      </c>
      <c r="D135" t="s">
        <v>516</v>
      </c>
      <c r="E135">
        <v>8281.7999999999993</v>
      </c>
      <c r="F135">
        <v>6881.66</v>
      </c>
      <c r="G135">
        <v>77279</v>
      </c>
      <c r="H135">
        <v>3326</v>
      </c>
      <c r="I135">
        <v>210</v>
      </c>
      <c r="J135">
        <v>9886.08</v>
      </c>
      <c r="K135">
        <f t="shared" si="14"/>
        <v>4.3038859198488592E-2</v>
      </c>
      <c r="L135">
        <f t="shared" si="15"/>
        <v>2.0690499098015636</v>
      </c>
      <c r="M135">
        <f t="shared" si="16"/>
        <v>32.769809523809521</v>
      </c>
      <c r="N135">
        <f t="shared" si="17"/>
        <v>1.4365836149998692</v>
      </c>
      <c r="O135">
        <f t="shared" si="18"/>
        <v>3004.42</v>
      </c>
      <c r="P135">
        <f t="shared" si="19"/>
        <v>30.390407522496275</v>
      </c>
      <c r="Q135" s="4" t="str">
        <f t="shared" si="20"/>
        <v>2025-02</v>
      </c>
    </row>
    <row r="136" spans="1:17" x14ac:dyDescent="0.3">
      <c r="A136" t="s">
        <v>144</v>
      </c>
      <c r="B136" s="2">
        <v>45685</v>
      </c>
      <c r="C136" t="s">
        <v>514</v>
      </c>
      <c r="D136" t="s">
        <v>515</v>
      </c>
      <c r="E136">
        <v>6536.77</v>
      </c>
      <c r="F136">
        <v>6850.12</v>
      </c>
      <c r="G136">
        <v>195662</v>
      </c>
      <c r="H136">
        <v>9052</v>
      </c>
      <c r="I136">
        <v>377</v>
      </c>
      <c r="J136">
        <v>11159.76</v>
      </c>
      <c r="K136">
        <f t="shared" si="14"/>
        <v>4.6263454324293934E-2</v>
      </c>
      <c r="L136">
        <f t="shared" si="15"/>
        <v>0.75675209898365003</v>
      </c>
      <c r="M136">
        <f t="shared" si="16"/>
        <v>18.170079575596816</v>
      </c>
      <c r="N136">
        <f t="shared" si="17"/>
        <v>1.6291335042305828</v>
      </c>
      <c r="O136">
        <f t="shared" si="18"/>
        <v>4309.6400000000003</v>
      </c>
      <c r="P136">
        <f t="shared" si="19"/>
        <v>38.617676365799987</v>
      </c>
      <c r="Q136" s="4" t="str">
        <f t="shared" si="20"/>
        <v>2025-01</v>
      </c>
    </row>
    <row r="137" spans="1:17" x14ac:dyDescent="0.3">
      <c r="A137" t="s">
        <v>145</v>
      </c>
      <c r="B137" s="2">
        <v>45715</v>
      </c>
      <c r="C137" t="s">
        <v>511</v>
      </c>
      <c r="D137" t="s">
        <v>518</v>
      </c>
      <c r="E137">
        <v>9268.66</v>
      </c>
      <c r="F137">
        <v>8497.14</v>
      </c>
      <c r="G137">
        <v>168167</v>
      </c>
      <c r="H137">
        <v>4467</v>
      </c>
      <c r="I137">
        <v>63</v>
      </c>
      <c r="J137">
        <v>1280.48</v>
      </c>
      <c r="K137">
        <f t="shared" si="14"/>
        <v>2.656288094572657E-2</v>
      </c>
      <c r="L137">
        <f t="shared" si="15"/>
        <v>1.9022028206850234</v>
      </c>
      <c r="M137">
        <f t="shared" si="16"/>
        <v>134.87523809523807</v>
      </c>
      <c r="N137">
        <f t="shared" si="17"/>
        <v>0.15069541045575335</v>
      </c>
      <c r="O137">
        <f t="shared" si="18"/>
        <v>-7216.66</v>
      </c>
      <c r="P137">
        <f t="shared" si="19"/>
        <v>-563.59021616893665</v>
      </c>
      <c r="Q137" s="4" t="str">
        <f t="shared" si="20"/>
        <v>2025-02</v>
      </c>
    </row>
    <row r="138" spans="1:17" x14ac:dyDescent="0.3">
      <c r="A138" t="s">
        <v>146</v>
      </c>
      <c r="B138" s="2">
        <v>45650</v>
      </c>
      <c r="C138" t="s">
        <v>514</v>
      </c>
      <c r="D138" t="s">
        <v>516</v>
      </c>
      <c r="E138">
        <v>9337.67</v>
      </c>
      <c r="F138">
        <v>7725.86</v>
      </c>
      <c r="G138">
        <v>163943</v>
      </c>
      <c r="H138">
        <v>2848</v>
      </c>
      <c r="I138">
        <v>536</v>
      </c>
      <c r="J138">
        <v>15854.56</v>
      </c>
      <c r="K138">
        <f t="shared" si="14"/>
        <v>1.737189145007716E-2</v>
      </c>
      <c r="L138">
        <f t="shared" si="15"/>
        <v>2.7127317415730334</v>
      </c>
      <c r="M138">
        <f t="shared" si="16"/>
        <v>14.413917910447761</v>
      </c>
      <c r="N138">
        <f t="shared" si="17"/>
        <v>2.0521417680361798</v>
      </c>
      <c r="O138">
        <f t="shared" si="18"/>
        <v>8128.7</v>
      </c>
      <c r="P138">
        <f t="shared" si="19"/>
        <v>51.27042314640078</v>
      </c>
      <c r="Q138" s="4" t="str">
        <f t="shared" si="20"/>
        <v>2024-12</v>
      </c>
    </row>
    <row r="139" spans="1:17" x14ac:dyDescent="0.3">
      <c r="A139" t="s">
        <v>147</v>
      </c>
      <c r="B139" s="2">
        <v>45808</v>
      </c>
      <c r="C139" t="s">
        <v>514</v>
      </c>
      <c r="D139" t="s">
        <v>517</v>
      </c>
      <c r="E139">
        <v>9650.43</v>
      </c>
      <c r="F139">
        <v>10472.469999999999</v>
      </c>
      <c r="G139">
        <v>137121</v>
      </c>
      <c r="H139">
        <v>1770</v>
      </c>
      <c r="I139">
        <v>271</v>
      </c>
      <c r="J139">
        <v>10082.049999999999</v>
      </c>
      <c r="K139">
        <f t="shared" si="14"/>
        <v>1.2908307261469796E-2</v>
      </c>
      <c r="L139">
        <f t="shared" si="15"/>
        <v>5.9166497175141242</v>
      </c>
      <c r="M139">
        <f t="shared" si="16"/>
        <v>38.643800738007378</v>
      </c>
      <c r="N139">
        <f t="shared" si="17"/>
        <v>0.96271939666573403</v>
      </c>
      <c r="O139">
        <f t="shared" si="18"/>
        <v>-390.42000000000007</v>
      </c>
      <c r="P139">
        <f t="shared" si="19"/>
        <v>-3.8724267386097084</v>
      </c>
      <c r="Q139" s="4" t="str">
        <f t="shared" si="20"/>
        <v>2025-05</v>
      </c>
    </row>
    <row r="140" spans="1:17" x14ac:dyDescent="0.3">
      <c r="A140" t="s">
        <v>148</v>
      </c>
      <c r="B140" s="2">
        <v>45646</v>
      </c>
      <c r="C140" t="s">
        <v>510</v>
      </c>
      <c r="D140" t="s">
        <v>518</v>
      </c>
      <c r="E140">
        <v>7422.86</v>
      </c>
      <c r="F140">
        <v>6936.91</v>
      </c>
      <c r="G140">
        <v>174799</v>
      </c>
      <c r="H140">
        <v>5339</v>
      </c>
      <c r="I140">
        <v>543</v>
      </c>
      <c r="J140">
        <v>15636.4</v>
      </c>
      <c r="K140">
        <f t="shared" si="14"/>
        <v>3.054365299572652E-2</v>
      </c>
      <c r="L140">
        <f t="shared" si="15"/>
        <v>1.2992901292376848</v>
      </c>
      <c r="M140">
        <f t="shared" si="16"/>
        <v>12.775156537753222</v>
      </c>
      <c r="N140">
        <f t="shared" si="17"/>
        <v>2.2540871944424823</v>
      </c>
      <c r="O140">
        <f t="shared" si="18"/>
        <v>8699.49</v>
      </c>
      <c r="P140">
        <f t="shared" si="19"/>
        <v>55.636143869432864</v>
      </c>
      <c r="Q140" s="4" t="str">
        <f t="shared" si="20"/>
        <v>2024-12</v>
      </c>
    </row>
    <row r="141" spans="1:17" x14ac:dyDescent="0.3">
      <c r="A141" t="s">
        <v>149</v>
      </c>
      <c r="B141" s="2">
        <v>45787</v>
      </c>
      <c r="C141" t="s">
        <v>511</v>
      </c>
      <c r="D141" t="s">
        <v>517</v>
      </c>
      <c r="E141">
        <v>5300.65</v>
      </c>
      <c r="F141">
        <v>5309.96</v>
      </c>
      <c r="G141">
        <v>58780</v>
      </c>
      <c r="H141">
        <v>1712</v>
      </c>
      <c r="I141">
        <v>92</v>
      </c>
      <c r="J141">
        <v>3916.55</v>
      </c>
      <c r="K141">
        <f t="shared" si="14"/>
        <v>2.9125552909152773E-2</v>
      </c>
      <c r="L141">
        <f t="shared" si="15"/>
        <v>3.1016121495327105</v>
      </c>
      <c r="M141">
        <f t="shared" si="16"/>
        <v>57.716956521739128</v>
      </c>
      <c r="N141">
        <f t="shared" si="17"/>
        <v>0.73758559386511391</v>
      </c>
      <c r="O141">
        <f t="shared" si="18"/>
        <v>-1393.4099999999999</v>
      </c>
      <c r="P141">
        <f t="shared" si="19"/>
        <v>-35.57748528679577</v>
      </c>
      <c r="Q141" s="4" t="str">
        <f t="shared" si="20"/>
        <v>2025-05</v>
      </c>
    </row>
    <row r="142" spans="1:17" x14ac:dyDescent="0.3">
      <c r="A142" t="s">
        <v>150</v>
      </c>
      <c r="B142" s="2">
        <v>45752</v>
      </c>
      <c r="C142" t="s">
        <v>514</v>
      </c>
      <c r="D142" t="s">
        <v>516</v>
      </c>
      <c r="E142">
        <v>8541.0499999999993</v>
      </c>
      <c r="F142">
        <v>8856.09</v>
      </c>
      <c r="G142">
        <v>198199</v>
      </c>
      <c r="H142">
        <v>5993</v>
      </c>
      <c r="I142">
        <v>1087</v>
      </c>
      <c r="J142">
        <v>24714.23</v>
      </c>
      <c r="K142">
        <f t="shared" si="14"/>
        <v>3.0237286767339895E-2</v>
      </c>
      <c r="L142">
        <f t="shared" si="15"/>
        <v>1.4777390288670116</v>
      </c>
      <c r="M142">
        <f t="shared" si="16"/>
        <v>8.1472769089236436</v>
      </c>
      <c r="N142">
        <f t="shared" si="17"/>
        <v>2.7906480173530306</v>
      </c>
      <c r="O142">
        <f t="shared" si="18"/>
        <v>15858.14</v>
      </c>
      <c r="P142">
        <f t="shared" si="19"/>
        <v>64.166029044805356</v>
      </c>
      <c r="Q142" s="4" t="str">
        <f t="shared" si="20"/>
        <v>2025-04</v>
      </c>
    </row>
    <row r="143" spans="1:17" x14ac:dyDescent="0.3">
      <c r="A143" t="s">
        <v>151</v>
      </c>
      <c r="B143" s="2">
        <v>45787</v>
      </c>
      <c r="C143" t="s">
        <v>514</v>
      </c>
      <c r="D143" t="s">
        <v>517</v>
      </c>
      <c r="E143">
        <v>6460.94</v>
      </c>
      <c r="F143">
        <v>5280.32</v>
      </c>
      <c r="G143">
        <v>103994</v>
      </c>
      <c r="H143">
        <v>4644</v>
      </c>
      <c r="I143">
        <v>871</v>
      </c>
      <c r="J143">
        <v>31779.19</v>
      </c>
      <c r="K143">
        <f t="shared" si="14"/>
        <v>4.4656422485912652E-2</v>
      </c>
      <c r="L143">
        <f t="shared" si="15"/>
        <v>1.1370198105081826</v>
      </c>
      <c r="M143">
        <f t="shared" si="16"/>
        <v>6.0623650975889776</v>
      </c>
      <c r="N143">
        <f t="shared" si="17"/>
        <v>6.0184212320465429</v>
      </c>
      <c r="O143">
        <f t="shared" si="18"/>
        <v>26498.87</v>
      </c>
      <c r="P143">
        <f t="shared" si="19"/>
        <v>83.384346800532043</v>
      </c>
      <c r="Q143" s="4" t="str">
        <f t="shared" si="20"/>
        <v>2025-05</v>
      </c>
    </row>
    <row r="144" spans="1:17" x14ac:dyDescent="0.3">
      <c r="A144" t="s">
        <v>152</v>
      </c>
      <c r="B144" s="2">
        <v>45800</v>
      </c>
      <c r="C144" t="s">
        <v>512</v>
      </c>
      <c r="D144" t="s">
        <v>517</v>
      </c>
      <c r="E144">
        <v>6090.71</v>
      </c>
      <c r="F144">
        <v>6494.59</v>
      </c>
      <c r="G144">
        <v>149870</v>
      </c>
      <c r="H144">
        <v>2505</v>
      </c>
      <c r="I144">
        <v>453</v>
      </c>
      <c r="J144">
        <v>13828.94</v>
      </c>
      <c r="K144">
        <f t="shared" si="14"/>
        <v>1.6714485887769401E-2</v>
      </c>
      <c r="L144">
        <f t="shared" si="15"/>
        <v>2.5926506986027946</v>
      </c>
      <c r="M144">
        <f t="shared" si="16"/>
        <v>14.336843267108168</v>
      </c>
      <c r="N144">
        <f t="shared" si="17"/>
        <v>2.1293014647575905</v>
      </c>
      <c r="O144">
        <f t="shared" si="18"/>
        <v>7334.35</v>
      </c>
      <c r="P144">
        <f t="shared" si="19"/>
        <v>53.036241389434046</v>
      </c>
      <c r="Q144" s="4" t="str">
        <f t="shared" si="20"/>
        <v>2025-05</v>
      </c>
    </row>
    <row r="145" spans="1:17" x14ac:dyDescent="0.3">
      <c r="A145" t="s">
        <v>153</v>
      </c>
      <c r="B145" s="2">
        <v>45816</v>
      </c>
      <c r="C145" t="s">
        <v>510</v>
      </c>
      <c r="D145" t="s">
        <v>517</v>
      </c>
      <c r="E145">
        <v>3819.47</v>
      </c>
      <c r="F145">
        <v>3219.42</v>
      </c>
      <c r="G145">
        <v>77061</v>
      </c>
      <c r="H145">
        <v>1539</v>
      </c>
      <c r="I145">
        <v>244</v>
      </c>
      <c r="J145">
        <v>10454.26</v>
      </c>
      <c r="K145">
        <f t="shared" si="14"/>
        <v>1.9971191653365517E-2</v>
      </c>
      <c r="L145">
        <f t="shared" si="15"/>
        <v>2.0918908382066279</v>
      </c>
      <c r="M145">
        <f t="shared" si="16"/>
        <v>13.194344262295083</v>
      </c>
      <c r="N145">
        <f t="shared" si="17"/>
        <v>3.2472495045691461</v>
      </c>
      <c r="O145">
        <f t="shared" si="18"/>
        <v>7234.84</v>
      </c>
      <c r="P145">
        <f t="shared" si="19"/>
        <v>69.204706980694951</v>
      </c>
      <c r="Q145" s="4" t="str">
        <f t="shared" si="20"/>
        <v>2025-06</v>
      </c>
    </row>
    <row r="146" spans="1:17" x14ac:dyDescent="0.3">
      <c r="A146" t="s">
        <v>154</v>
      </c>
      <c r="B146" s="2">
        <v>45762</v>
      </c>
      <c r="C146" t="s">
        <v>514</v>
      </c>
      <c r="D146" t="s">
        <v>517</v>
      </c>
      <c r="E146">
        <v>7327.53</v>
      </c>
      <c r="F146">
        <v>6084.32</v>
      </c>
      <c r="G146">
        <v>70716</v>
      </c>
      <c r="H146">
        <v>2637</v>
      </c>
      <c r="I146">
        <v>111</v>
      </c>
      <c r="J146">
        <v>2500.08</v>
      </c>
      <c r="K146">
        <f t="shared" si="14"/>
        <v>3.7290005090785679E-2</v>
      </c>
      <c r="L146">
        <f t="shared" si="15"/>
        <v>2.3072885855138412</v>
      </c>
      <c r="M146">
        <f t="shared" si="16"/>
        <v>54.813693693693693</v>
      </c>
      <c r="N146">
        <f t="shared" si="17"/>
        <v>0.41090540931443448</v>
      </c>
      <c r="O146">
        <f t="shared" si="18"/>
        <v>-3584.24</v>
      </c>
      <c r="P146">
        <f t="shared" si="19"/>
        <v>-143.36501231960577</v>
      </c>
      <c r="Q146" s="4" t="str">
        <f t="shared" si="20"/>
        <v>2025-04</v>
      </c>
    </row>
    <row r="147" spans="1:17" x14ac:dyDescent="0.3">
      <c r="A147" t="s">
        <v>155</v>
      </c>
      <c r="B147" s="2">
        <v>45789</v>
      </c>
      <c r="C147" t="s">
        <v>513</v>
      </c>
      <c r="D147" t="s">
        <v>518</v>
      </c>
      <c r="E147">
        <v>7906.78</v>
      </c>
      <c r="F147">
        <v>6498.02</v>
      </c>
      <c r="G147">
        <v>81757</v>
      </c>
      <c r="H147">
        <v>1390</v>
      </c>
      <c r="I147">
        <v>160</v>
      </c>
      <c r="J147">
        <v>7144.93</v>
      </c>
      <c r="K147">
        <f t="shared" si="14"/>
        <v>1.7001602309282386E-2</v>
      </c>
      <c r="L147">
        <f t="shared" si="15"/>
        <v>4.674834532374101</v>
      </c>
      <c r="M147">
        <f t="shared" si="16"/>
        <v>40.612625000000001</v>
      </c>
      <c r="N147">
        <f t="shared" si="17"/>
        <v>1.0995549413513654</v>
      </c>
      <c r="O147">
        <f t="shared" si="18"/>
        <v>646.90999999999985</v>
      </c>
      <c r="P147">
        <f t="shared" si="19"/>
        <v>9.0541124965534969</v>
      </c>
      <c r="Q147" s="4" t="str">
        <f t="shared" si="20"/>
        <v>2025-05</v>
      </c>
    </row>
    <row r="148" spans="1:17" x14ac:dyDescent="0.3">
      <c r="A148" t="s">
        <v>156</v>
      </c>
      <c r="B148" s="2">
        <v>45771</v>
      </c>
      <c r="C148" t="s">
        <v>512</v>
      </c>
      <c r="D148" t="s">
        <v>515</v>
      </c>
      <c r="E148">
        <v>7943.7</v>
      </c>
      <c r="F148">
        <v>6548.82</v>
      </c>
      <c r="G148">
        <v>127949</v>
      </c>
      <c r="H148">
        <v>2073</v>
      </c>
      <c r="I148">
        <v>179</v>
      </c>
      <c r="J148">
        <v>4035.58</v>
      </c>
      <c r="K148">
        <f t="shared" si="14"/>
        <v>1.6201767891894425E-2</v>
      </c>
      <c r="L148">
        <f t="shared" si="15"/>
        <v>3.1591027496382051</v>
      </c>
      <c r="M148">
        <f t="shared" si="16"/>
        <v>36.585586592178771</v>
      </c>
      <c r="N148">
        <f t="shared" si="17"/>
        <v>0.61623009946830121</v>
      </c>
      <c r="O148">
        <f t="shared" si="18"/>
        <v>-2513.2399999999998</v>
      </c>
      <c r="P148">
        <f t="shared" si="19"/>
        <v>-62.277045678688069</v>
      </c>
      <c r="Q148" s="4" t="str">
        <f t="shared" si="20"/>
        <v>2025-04</v>
      </c>
    </row>
    <row r="149" spans="1:17" x14ac:dyDescent="0.3">
      <c r="A149" t="s">
        <v>157</v>
      </c>
      <c r="B149" s="2">
        <v>45700</v>
      </c>
      <c r="C149" t="s">
        <v>513</v>
      </c>
      <c r="D149" t="s">
        <v>517</v>
      </c>
      <c r="E149">
        <v>9906.48</v>
      </c>
      <c r="F149">
        <v>9037.5</v>
      </c>
      <c r="G149">
        <v>130404</v>
      </c>
      <c r="H149">
        <v>3053</v>
      </c>
      <c r="I149">
        <v>159</v>
      </c>
      <c r="J149">
        <v>4947.96</v>
      </c>
      <c r="K149">
        <f t="shared" si="14"/>
        <v>2.3411858531946873E-2</v>
      </c>
      <c r="L149">
        <f t="shared" si="15"/>
        <v>2.9602030789387488</v>
      </c>
      <c r="M149">
        <f t="shared" si="16"/>
        <v>56.839622641509436</v>
      </c>
      <c r="N149">
        <f t="shared" si="17"/>
        <v>0.54749211618257265</v>
      </c>
      <c r="O149">
        <f t="shared" si="18"/>
        <v>-4089.54</v>
      </c>
      <c r="P149">
        <f t="shared" si="19"/>
        <v>-82.651031940436056</v>
      </c>
      <c r="Q149" s="4" t="str">
        <f t="shared" si="20"/>
        <v>2025-02</v>
      </c>
    </row>
    <row r="150" spans="1:17" x14ac:dyDescent="0.3">
      <c r="A150" t="s">
        <v>158</v>
      </c>
      <c r="B150" s="2">
        <v>45784</v>
      </c>
      <c r="C150" t="s">
        <v>511</v>
      </c>
      <c r="D150" t="s">
        <v>517</v>
      </c>
      <c r="E150">
        <v>8689.6</v>
      </c>
      <c r="F150">
        <v>9421.0400000000009</v>
      </c>
      <c r="G150">
        <v>162097</v>
      </c>
      <c r="H150">
        <v>7152</v>
      </c>
      <c r="I150">
        <v>1126</v>
      </c>
      <c r="J150">
        <v>55827.12</v>
      </c>
      <c r="K150">
        <f t="shared" si="14"/>
        <v>4.4121729581670231E-2</v>
      </c>
      <c r="L150">
        <f t="shared" si="15"/>
        <v>1.3172595078299778</v>
      </c>
      <c r="M150">
        <f t="shared" si="16"/>
        <v>8.3668206039076392</v>
      </c>
      <c r="N150">
        <f t="shared" si="17"/>
        <v>5.9257916323463222</v>
      </c>
      <c r="O150">
        <f t="shared" si="18"/>
        <v>46406.080000000002</v>
      </c>
      <c r="P150">
        <f t="shared" si="19"/>
        <v>83.124617569382053</v>
      </c>
      <c r="Q150" s="4" t="str">
        <f t="shared" si="20"/>
        <v>2025-05</v>
      </c>
    </row>
    <row r="151" spans="1:17" x14ac:dyDescent="0.3">
      <c r="A151" t="s">
        <v>159</v>
      </c>
      <c r="B151" s="2">
        <v>45793</v>
      </c>
      <c r="C151" t="s">
        <v>513</v>
      </c>
      <c r="D151" t="s">
        <v>518</v>
      </c>
      <c r="E151">
        <v>8273.65</v>
      </c>
      <c r="F151">
        <v>7552.83</v>
      </c>
      <c r="G151">
        <v>154555</v>
      </c>
      <c r="H151">
        <v>7368</v>
      </c>
      <c r="I151">
        <v>692</v>
      </c>
      <c r="J151">
        <v>15573.47</v>
      </c>
      <c r="K151">
        <f t="shared" si="14"/>
        <v>4.7672349648992265E-2</v>
      </c>
      <c r="L151">
        <f t="shared" si="15"/>
        <v>1.0250855048859935</v>
      </c>
      <c r="M151">
        <f t="shared" si="16"/>
        <v>10.914494219653179</v>
      </c>
      <c r="N151">
        <f t="shared" si="17"/>
        <v>2.0619383727688825</v>
      </c>
      <c r="O151">
        <f t="shared" si="18"/>
        <v>8020.6399999999994</v>
      </c>
      <c r="P151">
        <f t="shared" si="19"/>
        <v>51.501945295428698</v>
      </c>
      <c r="Q151" s="4" t="str">
        <f t="shared" si="20"/>
        <v>2025-05</v>
      </c>
    </row>
    <row r="152" spans="1:17" x14ac:dyDescent="0.3">
      <c r="A152" t="s">
        <v>160</v>
      </c>
      <c r="B152" s="2">
        <v>45802</v>
      </c>
      <c r="C152" t="s">
        <v>511</v>
      </c>
      <c r="D152" t="s">
        <v>518</v>
      </c>
      <c r="E152">
        <v>8440.0300000000007</v>
      </c>
      <c r="F152">
        <v>8165.91</v>
      </c>
      <c r="G152">
        <v>56338</v>
      </c>
      <c r="H152">
        <v>2066</v>
      </c>
      <c r="I152">
        <v>157</v>
      </c>
      <c r="J152">
        <v>5138.09</v>
      </c>
      <c r="K152">
        <f t="shared" si="14"/>
        <v>3.6671518335759171E-2</v>
      </c>
      <c r="L152">
        <f t="shared" si="15"/>
        <v>3.9525217812197484</v>
      </c>
      <c r="M152">
        <f t="shared" si="16"/>
        <v>52.012165605095539</v>
      </c>
      <c r="N152">
        <f t="shared" si="17"/>
        <v>0.62921217598528523</v>
      </c>
      <c r="O152">
        <f t="shared" si="18"/>
        <v>-3027.8199999999997</v>
      </c>
      <c r="P152">
        <f t="shared" si="19"/>
        <v>-58.928901595729144</v>
      </c>
      <c r="Q152" s="4" t="str">
        <f t="shared" si="20"/>
        <v>2025-05</v>
      </c>
    </row>
    <row r="153" spans="1:17" x14ac:dyDescent="0.3">
      <c r="A153" t="s">
        <v>161</v>
      </c>
      <c r="B153" s="2">
        <v>45691</v>
      </c>
      <c r="C153" t="s">
        <v>511</v>
      </c>
      <c r="D153" t="s">
        <v>518</v>
      </c>
      <c r="E153">
        <v>9344.48</v>
      </c>
      <c r="F153">
        <v>7787.31</v>
      </c>
      <c r="G153">
        <v>168488</v>
      </c>
      <c r="H153">
        <v>6718</v>
      </c>
      <c r="I153">
        <v>131</v>
      </c>
      <c r="J153">
        <v>4556.0200000000004</v>
      </c>
      <c r="K153">
        <f t="shared" si="14"/>
        <v>3.9872275770381271E-2</v>
      </c>
      <c r="L153">
        <f t="shared" si="15"/>
        <v>1.1591708841917239</v>
      </c>
      <c r="M153">
        <f t="shared" si="16"/>
        <v>59.445114503816797</v>
      </c>
      <c r="N153">
        <f t="shared" si="17"/>
        <v>0.58505697089238773</v>
      </c>
      <c r="O153">
        <f t="shared" si="18"/>
        <v>-3231.29</v>
      </c>
      <c r="P153">
        <f t="shared" si="19"/>
        <v>-70.923525357658647</v>
      </c>
      <c r="Q153" s="4" t="str">
        <f t="shared" si="20"/>
        <v>2025-02</v>
      </c>
    </row>
    <row r="154" spans="1:17" x14ac:dyDescent="0.3">
      <c r="A154" t="s">
        <v>162</v>
      </c>
      <c r="B154" s="2">
        <v>45663</v>
      </c>
      <c r="C154" t="s">
        <v>514</v>
      </c>
      <c r="D154" t="s">
        <v>517</v>
      </c>
      <c r="E154">
        <v>3079.48</v>
      </c>
      <c r="F154">
        <v>2896.55</v>
      </c>
      <c r="G154">
        <v>70782</v>
      </c>
      <c r="H154">
        <v>3197</v>
      </c>
      <c r="I154">
        <v>540</v>
      </c>
      <c r="J154">
        <v>11712.11</v>
      </c>
      <c r="K154">
        <f t="shared" si="14"/>
        <v>4.5166850329179734E-2</v>
      </c>
      <c r="L154">
        <f t="shared" si="15"/>
        <v>0.90602126994056931</v>
      </c>
      <c r="M154">
        <f t="shared" si="16"/>
        <v>5.3639814814814821</v>
      </c>
      <c r="N154">
        <f t="shared" si="17"/>
        <v>4.0434689544458058</v>
      </c>
      <c r="O154">
        <f t="shared" si="18"/>
        <v>8815.5600000000013</v>
      </c>
      <c r="P154">
        <f t="shared" si="19"/>
        <v>75.268760283159921</v>
      </c>
      <c r="Q154" s="4" t="str">
        <f t="shared" si="20"/>
        <v>2025-01</v>
      </c>
    </row>
    <row r="155" spans="1:17" x14ac:dyDescent="0.3">
      <c r="A155" t="s">
        <v>163</v>
      </c>
      <c r="B155" s="2">
        <v>45661</v>
      </c>
      <c r="C155" t="s">
        <v>514</v>
      </c>
      <c r="D155" t="s">
        <v>518</v>
      </c>
      <c r="E155">
        <v>3831.73</v>
      </c>
      <c r="F155">
        <v>3200.48</v>
      </c>
      <c r="G155">
        <v>187830</v>
      </c>
      <c r="H155">
        <v>5038</v>
      </c>
      <c r="I155">
        <v>56</v>
      </c>
      <c r="J155">
        <v>2210.67</v>
      </c>
      <c r="K155">
        <f t="shared" si="14"/>
        <v>2.6822126390885374E-2</v>
      </c>
      <c r="L155">
        <f t="shared" si="15"/>
        <v>0.63526796347757042</v>
      </c>
      <c r="M155">
        <f t="shared" si="16"/>
        <v>57.151428571428575</v>
      </c>
      <c r="N155">
        <f t="shared" si="17"/>
        <v>0.69073076538519229</v>
      </c>
      <c r="O155">
        <f t="shared" si="18"/>
        <v>-989.81</v>
      </c>
      <c r="P155">
        <f t="shared" si="19"/>
        <v>-44.774208724051981</v>
      </c>
      <c r="Q155" s="4" t="str">
        <f t="shared" si="20"/>
        <v>2025-01</v>
      </c>
    </row>
    <row r="156" spans="1:17" x14ac:dyDescent="0.3">
      <c r="A156" t="s">
        <v>164</v>
      </c>
      <c r="B156" s="2">
        <v>45668</v>
      </c>
      <c r="C156" t="s">
        <v>514</v>
      </c>
      <c r="D156" t="s">
        <v>517</v>
      </c>
      <c r="E156">
        <v>8222.31</v>
      </c>
      <c r="F156">
        <v>8016.84</v>
      </c>
      <c r="G156">
        <v>77085</v>
      </c>
      <c r="H156">
        <v>2592</v>
      </c>
      <c r="I156">
        <v>460</v>
      </c>
      <c r="J156">
        <v>22477.98</v>
      </c>
      <c r="K156">
        <f t="shared" si="14"/>
        <v>3.3625218914185642E-2</v>
      </c>
      <c r="L156">
        <f t="shared" si="15"/>
        <v>3.0929166666666665</v>
      </c>
      <c r="M156">
        <f t="shared" si="16"/>
        <v>17.427913043478259</v>
      </c>
      <c r="N156">
        <f t="shared" si="17"/>
        <v>2.8038454054215873</v>
      </c>
      <c r="O156">
        <f t="shared" si="18"/>
        <v>14461.14</v>
      </c>
      <c r="P156">
        <f t="shared" si="19"/>
        <v>64.334695555383533</v>
      </c>
      <c r="Q156" s="4" t="str">
        <f t="shared" si="20"/>
        <v>2025-01</v>
      </c>
    </row>
    <row r="157" spans="1:17" x14ac:dyDescent="0.3">
      <c r="A157" t="s">
        <v>165</v>
      </c>
      <c r="B157" s="2">
        <v>45814</v>
      </c>
      <c r="C157" t="s">
        <v>510</v>
      </c>
      <c r="D157" t="s">
        <v>515</v>
      </c>
      <c r="E157">
        <v>5624.09</v>
      </c>
      <c r="F157">
        <v>4981.33</v>
      </c>
      <c r="G157">
        <v>181387</v>
      </c>
      <c r="H157">
        <v>7602</v>
      </c>
      <c r="I157">
        <v>1490</v>
      </c>
      <c r="J157">
        <v>68626.38</v>
      </c>
      <c r="K157">
        <f t="shared" si="14"/>
        <v>4.1910390491049526E-2</v>
      </c>
      <c r="L157">
        <f t="shared" si="15"/>
        <v>0.65526571954748747</v>
      </c>
      <c r="M157">
        <f t="shared" si="16"/>
        <v>3.3431744966442953</v>
      </c>
      <c r="N157">
        <f t="shared" si="17"/>
        <v>13.776718266005265</v>
      </c>
      <c r="O157">
        <f t="shared" si="18"/>
        <v>63645.05</v>
      </c>
      <c r="P157">
        <f t="shared" si="19"/>
        <v>92.741377295436536</v>
      </c>
      <c r="Q157" s="4" t="str">
        <f t="shared" si="20"/>
        <v>2025-06</v>
      </c>
    </row>
    <row r="158" spans="1:17" x14ac:dyDescent="0.3">
      <c r="A158" t="s">
        <v>166</v>
      </c>
      <c r="B158" s="2">
        <v>45785</v>
      </c>
      <c r="C158" t="s">
        <v>511</v>
      </c>
      <c r="D158" t="s">
        <v>518</v>
      </c>
      <c r="E158">
        <v>4565.17</v>
      </c>
      <c r="F158">
        <v>4971.32</v>
      </c>
      <c r="G158">
        <v>161384</v>
      </c>
      <c r="H158">
        <v>4375</v>
      </c>
      <c r="I158">
        <v>117</v>
      </c>
      <c r="J158">
        <v>2382.66</v>
      </c>
      <c r="K158">
        <f t="shared" si="14"/>
        <v>2.7109254944728101E-2</v>
      </c>
      <c r="L158">
        <f t="shared" si="15"/>
        <v>1.1363017142857141</v>
      </c>
      <c r="M158">
        <f t="shared" si="16"/>
        <v>42.489914529914529</v>
      </c>
      <c r="N158">
        <f t="shared" si="17"/>
        <v>0.47928115671491678</v>
      </c>
      <c r="O158">
        <f t="shared" si="18"/>
        <v>-2588.66</v>
      </c>
      <c r="P158">
        <f t="shared" si="19"/>
        <v>-108.64579923279025</v>
      </c>
      <c r="Q158" s="4" t="str">
        <f t="shared" si="20"/>
        <v>2025-05</v>
      </c>
    </row>
    <row r="159" spans="1:17" x14ac:dyDescent="0.3">
      <c r="A159" t="s">
        <v>167</v>
      </c>
      <c r="B159" s="2">
        <v>45710</v>
      </c>
      <c r="C159" t="s">
        <v>512</v>
      </c>
      <c r="D159" t="s">
        <v>516</v>
      </c>
      <c r="E159">
        <v>9789.15</v>
      </c>
      <c r="F159">
        <v>7958.07</v>
      </c>
      <c r="G159">
        <v>115218</v>
      </c>
      <c r="H159">
        <v>1614</v>
      </c>
      <c r="I159">
        <v>62</v>
      </c>
      <c r="J159">
        <v>2897.53</v>
      </c>
      <c r="K159">
        <f t="shared" si="14"/>
        <v>1.4008227881060251E-2</v>
      </c>
      <c r="L159">
        <f t="shared" si="15"/>
        <v>4.9306505576208179</v>
      </c>
      <c r="M159">
        <f t="shared" si="16"/>
        <v>128.35596774193547</v>
      </c>
      <c r="N159">
        <f t="shared" si="17"/>
        <v>0.36409958696015493</v>
      </c>
      <c r="O159">
        <f t="shared" si="18"/>
        <v>-5060.5399999999991</v>
      </c>
      <c r="P159">
        <f t="shared" si="19"/>
        <v>-174.65013304435152</v>
      </c>
      <c r="Q159" s="4" t="str">
        <f t="shared" si="20"/>
        <v>2025-02</v>
      </c>
    </row>
    <row r="160" spans="1:17" x14ac:dyDescent="0.3">
      <c r="A160" t="s">
        <v>168</v>
      </c>
      <c r="B160" s="2">
        <v>45762</v>
      </c>
      <c r="C160" t="s">
        <v>514</v>
      </c>
      <c r="D160" t="s">
        <v>518</v>
      </c>
      <c r="E160">
        <v>6693.91</v>
      </c>
      <c r="F160">
        <v>7349.17</v>
      </c>
      <c r="G160">
        <v>86944</v>
      </c>
      <c r="H160">
        <v>1292</v>
      </c>
      <c r="I160">
        <v>250</v>
      </c>
      <c r="J160">
        <v>5553.47</v>
      </c>
      <c r="K160">
        <f t="shared" si="14"/>
        <v>1.486013986013986E-2</v>
      </c>
      <c r="L160">
        <f t="shared" si="15"/>
        <v>5.6882120743034053</v>
      </c>
      <c r="M160">
        <f t="shared" si="16"/>
        <v>29.39668</v>
      </c>
      <c r="N160">
        <f t="shared" si="17"/>
        <v>0.75565948263545413</v>
      </c>
      <c r="O160">
        <f t="shared" si="18"/>
        <v>-1795.6999999999998</v>
      </c>
      <c r="P160">
        <f t="shared" si="19"/>
        <v>-32.334738460818187</v>
      </c>
      <c r="Q160" s="4" t="str">
        <f t="shared" si="20"/>
        <v>2025-04</v>
      </c>
    </row>
    <row r="161" spans="1:17" x14ac:dyDescent="0.3">
      <c r="A161" t="s">
        <v>169</v>
      </c>
      <c r="B161" s="2">
        <v>45778</v>
      </c>
      <c r="C161" t="s">
        <v>510</v>
      </c>
      <c r="D161" t="s">
        <v>517</v>
      </c>
      <c r="E161">
        <v>6876.98</v>
      </c>
      <c r="F161">
        <v>7501.35</v>
      </c>
      <c r="G161">
        <v>126890</v>
      </c>
      <c r="H161">
        <v>3074</v>
      </c>
      <c r="I161">
        <v>614</v>
      </c>
      <c r="J161">
        <v>21915.46</v>
      </c>
      <c r="K161">
        <f t="shared" si="14"/>
        <v>2.4225707305540231E-2</v>
      </c>
      <c r="L161">
        <f t="shared" si="15"/>
        <v>2.4402569941444372</v>
      </c>
      <c r="M161">
        <f t="shared" si="16"/>
        <v>12.217182410423453</v>
      </c>
      <c r="N161">
        <f t="shared" si="17"/>
        <v>2.9215354569510819</v>
      </c>
      <c r="O161">
        <f t="shared" si="18"/>
        <v>14414.109999999999</v>
      </c>
      <c r="P161">
        <f t="shared" si="19"/>
        <v>65.771423460881039</v>
      </c>
      <c r="Q161" s="4" t="str">
        <f t="shared" si="20"/>
        <v>2025-05</v>
      </c>
    </row>
    <row r="162" spans="1:17" x14ac:dyDescent="0.3">
      <c r="A162" t="s">
        <v>170</v>
      </c>
      <c r="B162" s="2">
        <v>45783</v>
      </c>
      <c r="C162" t="s">
        <v>510</v>
      </c>
      <c r="D162" t="s">
        <v>516</v>
      </c>
      <c r="E162">
        <v>7405.79</v>
      </c>
      <c r="F162">
        <v>7470.4</v>
      </c>
      <c r="G162">
        <v>119094</v>
      </c>
      <c r="H162">
        <v>5829</v>
      </c>
      <c r="I162">
        <v>550</v>
      </c>
      <c r="J162">
        <v>18499.93</v>
      </c>
      <c r="K162">
        <f t="shared" si="14"/>
        <v>4.8944531210640338E-2</v>
      </c>
      <c r="L162">
        <f t="shared" si="15"/>
        <v>1.281592039800995</v>
      </c>
      <c r="M162">
        <f t="shared" si="16"/>
        <v>13.582545454545453</v>
      </c>
      <c r="N162">
        <f t="shared" si="17"/>
        <v>2.4764309809381024</v>
      </c>
      <c r="O162">
        <f t="shared" si="18"/>
        <v>11029.53</v>
      </c>
      <c r="P162">
        <f t="shared" si="19"/>
        <v>59.619306667646853</v>
      </c>
      <c r="Q162" s="4" t="str">
        <f t="shared" si="20"/>
        <v>2025-05</v>
      </c>
    </row>
    <row r="163" spans="1:17" x14ac:dyDescent="0.3">
      <c r="A163" t="s">
        <v>171</v>
      </c>
      <c r="B163" s="2">
        <v>45739</v>
      </c>
      <c r="C163" t="s">
        <v>510</v>
      </c>
      <c r="D163" t="s">
        <v>517</v>
      </c>
      <c r="E163">
        <v>7392.91</v>
      </c>
      <c r="F163">
        <v>7210.26</v>
      </c>
      <c r="G163">
        <v>120570</v>
      </c>
      <c r="H163">
        <v>1495</v>
      </c>
      <c r="I163">
        <v>104</v>
      </c>
      <c r="J163">
        <v>4891.6099999999997</v>
      </c>
      <c r="K163">
        <f t="shared" si="14"/>
        <v>1.2399436012275026E-2</v>
      </c>
      <c r="L163">
        <f t="shared" si="15"/>
        <v>4.8229163879598662</v>
      </c>
      <c r="M163">
        <f t="shared" si="16"/>
        <v>69.329423076923078</v>
      </c>
      <c r="N163">
        <f t="shared" si="17"/>
        <v>0.67842352425571328</v>
      </c>
      <c r="O163">
        <f t="shared" si="18"/>
        <v>-2318.6500000000005</v>
      </c>
      <c r="P163">
        <f t="shared" si="19"/>
        <v>-47.400549103464925</v>
      </c>
      <c r="Q163" s="4" t="str">
        <f t="shared" si="20"/>
        <v>2025-03</v>
      </c>
    </row>
    <row r="164" spans="1:17" x14ac:dyDescent="0.3">
      <c r="A164" t="s">
        <v>172</v>
      </c>
      <c r="B164" s="2">
        <v>45718</v>
      </c>
      <c r="C164" t="s">
        <v>514</v>
      </c>
      <c r="D164" t="s">
        <v>515</v>
      </c>
      <c r="E164">
        <v>3318.12</v>
      </c>
      <c r="F164">
        <v>2934.18</v>
      </c>
      <c r="G164">
        <v>173652</v>
      </c>
      <c r="H164">
        <v>3397</v>
      </c>
      <c r="I164">
        <v>329</v>
      </c>
      <c r="J164">
        <v>15960.56</v>
      </c>
      <c r="K164">
        <f t="shared" si="14"/>
        <v>1.9562112731209544E-2</v>
      </c>
      <c r="L164">
        <f t="shared" si="15"/>
        <v>0.86375625551957602</v>
      </c>
      <c r="M164">
        <f t="shared" si="16"/>
        <v>8.9184802431610937</v>
      </c>
      <c r="N164">
        <f t="shared" si="17"/>
        <v>5.4395299538542288</v>
      </c>
      <c r="O164">
        <f t="shared" si="18"/>
        <v>13026.38</v>
      </c>
      <c r="P164">
        <f t="shared" si="19"/>
        <v>81.616058584410567</v>
      </c>
      <c r="Q164" s="4" t="str">
        <f t="shared" si="20"/>
        <v>2025-03</v>
      </c>
    </row>
    <row r="165" spans="1:17" x14ac:dyDescent="0.3">
      <c r="A165" t="s">
        <v>173</v>
      </c>
      <c r="B165" s="2">
        <v>45698</v>
      </c>
      <c r="C165" t="s">
        <v>513</v>
      </c>
      <c r="D165" t="s">
        <v>518</v>
      </c>
      <c r="E165">
        <v>9231.85</v>
      </c>
      <c r="F165">
        <v>8647.4500000000007</v>
      </c>
      <c r="G165">
        <v>53244</v>
      </c>
      <c r="H165">
        <v>1838</v>
      </c>
      <c r="I165">
        <v>273</v>
      </c>
      <c r="J165">
        <v>10538.89</v>
      </c>
      <c r="K165">
        <f t="shared" si="14"/>
        <v>3.452032153857712E-2</v>
      </c>
      <c r="L165">
        <f t="shared" si="15"/>
        <v>4.7048150163220894</v>
      </c>
      <c r="M165">
        <f t="shared" si="16"/>
        <v>31.675641025641028</v>
      </c>
      <c r="N165">
        <f t="shared" si="17"/>
        <v>1.2187280643426672</v>
      </c>
      <c r="O165">
        <f t="shared" si="18"/>
        <v>1891.4399999999987</v>
      </c>
      <c r="P165">
        <f t="shared" si="19"/>
        <v>17.94724112311637</v>
      </c>
      <c r="Q165" s="4" t="str">
        <f t="shared" si="20"/>
        <v>2025-02</v>
      </c>
    </row>
    <row r="166" spans="1:17" x14ac:dyDescent="0.3">
      <c r="A166" t="s">
        <v>174</v>
      </c>
      <c r="B166" s="2">
        <v>45667</v>
      </c>
      <c r="C166" t="s">
        <v>510</v>
      </c>
      <c r="D166" t="s">
        <v>517</v>
      </c>
      <c r="E166">
        <v>4941.67</v>
      </c>
      <c r="F166">
        <v>4232.2299999999996</v>
      </c>
      <c r="G166">
        <v>197753</v>
      </c>
      <c r="H166">
        <v>3883</v>
      </c>
      <c r="I166">
        <v>619</v>
      </c>
      <c r="J166">
        <v>20990.880000000001</v>
      </c>
      <c r="K166">
        <f t="shared" si="14"/>
        <v>1.9635606033789627E-2</v>
      </c>
      <c r="L166">
        <f t="shared" si="15"/>
        <v>1.0899381921194951</v>
      </c>
      <c r="M166">
        <f t="shared" si="16"/>
        <v>6.8372051696284322</v>
      </c>
      <c r="N166">
        <f t="shared" si="17"/>
        <v>4.959768254560835</v>
      </c>
      <c r="O166">
        <f t="shared" si="18"/>
        <v>16758.650000000001</v>
      </c>
      <c r="P166">
        <f t="shared" si="19"/>
        <v>79.837767640041776</v>
      </c>
      <c r="Q166" s="4" t="str">
        <f t="shared" si="20"/>
        <v>2025-01</v>
      </c>
    </row>
    <row r="167" spans="1:17" x14ac:dyDescent="0.3">
      <c r="A167" t="s">
        <v>175</v>
      </c>
      <c r="B167" s="2">
        <v>45716</v>
      </c>
      <c r="C167" t="s">
        <v>512</v>
      </c>
      <c r="D167" t="s">
        <v>518</v>
      </c>
      <c r="E167">
        <v>5473.47</v>
      </c>
      <c r="F167">
        <v>5337.16</v>
      </c>
      <c r="G167">
        <v>95888</v>
      </c>
      <c r="H167">
        <v>2400</v>
      </c>
      <c r="I167">
        <v>189</v>
      </c>
      <c r="J167">
        <v>4220.76</v>
      </c>
      <c r="K167">
        <f t="shared" si="14"/>
        <v>2.5029200734189887E-2</v>
      </c>
      <c r="L167">
        <f t="shared" si="15"/>
        <v>2.2238166666666666</v>
      </c>
      <c r="M167">
        <f t="shared" si="16"/>
        <v>28.238941798941799</v>
      </c>
      <c r="N167">
        <f t="shared" si="17"/>
        <v>0.79082508300294541</v>
      </c>
      <c r="O167">
        <f t="shared" si="18"/>
        <v>-1116.3999999999996</v>
      </c>
      <c r="P167">
        <f t="shared" si="19"/>
        <v>-26.450212757891933</v>
      </c>
      <c r="Q167" s="4" t="str">
        <f t="shared" si="20"/>
        <v>2025-02</v>
      </c>
    </row>
    <row r="168" spans="1:17" x14ac:dyDescent="0.3">
      <c r="A168" t="s">
        <v>176</v>
      </c>
      <c r="B168" s="2">
        <v>45720</v>
      </c>
      <c r="C168" t="s">
        <v>513</v>
      </c>
      <c r="D168" t="s">
        <v>517</v>
      </c>
      <c r="E168">
        <v>9820.76</v>
      </c>
      <c r="F168">
        <v>10762.21</v>
      </c>
      <c r="G168">
        <v>130274</v>
      </c>
      <c r="H168">
        <v>3999</v>
      </c>
      <c r="I168">
        <v>83</v>
      </c>
      <c r="J168">
        <v>3398.42</v>
      </c>
      <c r="K168">
        <f t="shared" si="14"/>
        <v>3.0696838970170563E-2</v>
      </c>
      <c r="L168">
        <f t="shared" si="15"/>
        <v>2.6912253063265816</v>
      </c>
      <c r="M168">
        <f t="shared" si="16"/>
        <v>129.66518072289156</v>
      </c>
      <c r="N168">
        <f t="shared" si="17"/>
        <v>0.31577343315174117</v>
      </c>
      <c r="O168">
        <f t="shared" si="18"/>
        <v>-7363.7899999999991</v>
      </c>
      <c r="P168">
        <f t="shared" si="19"/>
        <v>-216.68275257325459</v>
      </c>
      <c r="Q168" s="4" t="str">
        <f t="shared" si="20"/>
        <v>2025-03</v>
      </c>
    </row>
    <row r="169" spans="1:17" x14ac:dyDescent="0.3">
      <c r="A169" t="s">
        <v>177</v>
      </c>
      <c r="B169" s="2">
        <v>45806</v>
      </c>
      <c r="C169" t="s">
        <v>511</v>
      </c>
      <c r="D169" t="s">
        <v>515</v>
      </c>
      <c r="E169">
        <v>6752.67</v>
      </c>
      <c r="F169">
        <v>6029.18</v>
      </c>
      <c r="G169">
        <v>53089</v>
      </c>
      <c r="H169">
        <v>1998</v>
      </c>
      <c r="I169">
        <v>204</v>
      </c>
      <c r="J169">
        <v>9060.43</v>
      </c>
      <c r="K169">
        <f t="shared" si="14"/>
        <v>3.7634914954133625E-2</v>
      </c>
      <c r="L169">
        <f t="shared" si="15"/>
        <v>3.0176076076076077</v>
      </c>
      <c r="M169">
        <f t="shared" si="16"/>
        <v>29.554803921568627</v>
      </c>
      <c r="N169">
        <f t="shared" si="17"/>
        <v>1.5027632281670145</v>
      </c>
      <c r="O169">
        <f t="shared" si="18"/>
        <v>3031.25</v>
      </c>
      <c r="P169">
        <f t="shared" si="19"/>
        <v>33.455917655122327</v>
      </c>
      <c r="Q169" s="4" t="str">
        <f t="shared" si="20"/>
        <v>2025-05</v>
      </c>
    </row>
    <row r="170" spans="1:17" x14ac:dyDescent="0.3">
      <c r="A170" t="s">
        <v>178</v>
      </c>
      <c r="B170" s="2">
        <v>45770</v>
      </c>
      <c r="C170" t="s">
        <v>514</v>
      </c>
      <c r="D170" t="s">
        <v>516</v>
      </c>
      <c r="E170">
        <v>7793.12</v>
      </c>
      <c r="F170">
        <v>6614.68</v>
      </c>
      <c r="G170">
        <v>110033</v>
      </c>
      <c r="H170">
        <v>3132</v>
      </c>
      <c r="I170">
        <v>85</v>
      </c>
      <c r="J170">
        <v>4022.86</v>
      </c>
      <c r="K170">
        <f t="shared" si="14"/>
        <v>2.8464188016322375E-2</v>
      </c>
      <c r="L170">
        <f t="shared" si="15"/>
        <v>2.1119667943805878</v>
      </c>
      <c r="M170">
        <f t="shared" si="16"/>
        <v>77.819764705882363</v>
      </c>
      <c r="N170">
        <f t="shared" si="17"/>
        <v>0.60817152152485077</v>
      </c>
      <c r="O170">
        <f t="shared" si="18"/>
        <v>-2591.8200000000002</v>
      </c>
      <c r="P170">
        <f t="shared" si="19"/>
        <v>-64.427297991975863</v>
      </c>
      <c r="Q170" s="4" t="str">
        <f t="shared" si="20"/>
        <v>2025-04</v>
      </c>
    </row>
    <row r="171" spans="1:17" x14ac:dyDescent="0.3">
      <c r="A171" t="s">
        <v>179</v>
      </c>
      <c r="B171" s="2">
        <v>45636</v>
      </c>
      <c r="C171" t="s">
        <v>512</v>
      </c>
      <c r="D171" t="s">
        <v>517</v>
      </c>
      <c r="E171">
        <v>8757.76</v>
      </c>
      <c r="F171">
        <v>9501.64</v>
      </c>
      <c r="G171">
        <v>75315</v>
      </c>
      <c r="H171">
        <v>1121</v>
      </c>
      <c r="I171">
        <v>85</v>
      </c>
      <c r="J171">
        <v>3550.58</v>
      </c>
      <c r="K171">
        <f t="shared" si="14"/>
        <v>1.4884153223129522E-2</v>
      </c>
      <c r="L171">
        <f t="shared" si="15"/>
        <v>8.4760392506690447</v>
      </c>
      <c r="M171">
        <f t="shared" si="16"/>
        <v>111.78399999999999</v>
      </c>
      <c r="N171">
        <f t="shared" si="17"/>
        <v>0.37368075405929924</v>
      </c>
      <c r="O171">
        <f t="shared" si="18"/>
        <v>-5951.0599999999995</v>
      </c>
      <c r="P171">
        <f t="shared" si="19"/>
        <v>-167.60810909766855</v>
      </c>
      <c r="Q171" s="4" t="str">
        <f t="shared" si="20"/>
        <v>2024-12</v>
      </c>
    </row>
    <row r="172" spans="1:17" x14ac:dyDescent="0.3">
      <c r="A172" t="s">
        <v>180</v>
      </c>
      <c r="B172" s="2">
        <v>45816</v>
      </c>
      <c r="C172" t="s">
        <v>511</v>
      </c>
      <c r="D172" t="s">
        <v>515</v>
      </c>
      <c r="E172">
        <v>7293.91</v>
      </c>
      <c r="F172">
        <v>6750.32</v>
      </c>
      <c r="G172">
        <v>194023</v>
      </c>
      <c r="H172">
        <v>9171</v>
      </c>
      <c r="I172">
        <v>1138</v>
      </c>
      <c r="J172">
        <v>54603.35</v>
      </c>
      <c r="K172">
        <f t="shared" si="14"/>
        <v>4.726759198651706E-2</v>
      </c>
      <c r="L172">
        <f t="shared" si="15"/>
        <v>0.73605059426452946</v>
      </c>
      <c r="M172">
        <f t="shared" si="16"/>
        <v>5.9317398945518454</v>
      </c>
      <c r="N172">
        <f t="shared" si="17"/>
        <v>8.089001706585762</v>
      </c>
      <c r="O172">
        <f t="shared" si="18"/>
        <v>47853.03</v>
      </c>
      <c r="P172">
        <f t="shared" si="19"/>
        <v>87.637535059662085</v>
      </c>
      <c r="Q172" s="4" t="str">
        <f t="shared" si="20"/>
        <v>2025-06</v>
      </c>
    </row>
    <row r="173" spans="1:17" x14ac:dyDescent="0.3">
      <c r="A173" t="s">
        <v>181</v>
      </c>
      <c r="B173" s="2">
        <v>45713</v>
      </c>
      <c r="C173" t="s">
        <v>512</v>
      </c>
      <c r="D173" t="s">
        <v>518</v>
      </c>
      <c r="E173">
        <v>9062.4500000000007</v>
      </c>
      <c r="F173">
        <v>7372.9</v>
      </c>
      <c r="G173">
        <v>105156</v>
      </c>
      <c r="H173">
        <v>3813</v>
      </c>
      <c r="I173">
        <v>632</v>
      </c>
      <c r="J173">
        <v>13139.92</v>
      </c>
      <c r="K173">
        <f t="shared" si="14"/>
        <v>3.6260413100536348E-2</v>
      </c>
      <c r="L173">
        <f t="shared" si="15"/>
        <v>1.9336218200891686</v>
      </c>
      <c r="M173">
        <f t="shared" si="16"/>
        <v>11.665981012658227</v>
      </c>
      <c r="N173">
        <f t="shared" si="17"/>
        <v>1.7821915392857628</v>
      </c>
      <c r="O173">
        <f t="shared" si="18"/>
        <v>5767.02</v>
      </c>
      <c r="P173">
        <f t="shared" si="19"/>
        <v>43.889308306291063</v>
      </c>
      <c r="Q173" s="4" t="str">
        <f t="shared" si="20"/>
        <v>2025-02</v>
      </c>
    </row>
    <row r="174" spans="1:17" x14ac:dyDescent="0.3">
      <c r="A174" t="s">
        <v>182</v>
      </c>
      <c r="B174" s="2">
        <v>45781</v>
      </c>
      <c r="C174" t="s">
        <v>513</v>
      </c>
      <c r="D174" t="s">
        <v>517</v>
      </c>
      <c r="E174">
        <v>5635.24</v>
      </c>
      <c r="F174">
        <v>5878.49</v>
      </c>
      <c r="G174">
        <v>136337</v>
      </c>
      <c r="H174">
        <v>3490</v>
      </c>
      <c r="I174">
        <v>132</v>
      </c>
      <c r="J174">
        <v>6549.61</v>
      </c>
      <c r="K174">
        <f t="shared" si="14"/>
        <v>2.5598333541151704E-2</v>
      </c>
      <c r="L174">
        <f t="shared" si="15"/>
        <v>1.6843810888252149</v>
      </c>
      <c r="M174">
        <f t="shared" si="16"/>
        <v>44.534015151515149</v>
      </c>
      <c r="N174">
        <f t="shared" si="17"/>
        <v>1.1141653724000551</v>
      </c>
      <c r="O174">
        <f t="shared" si="18"/>
        <v>671.11999999999989</v>
      </c>
      <c r="P174">
        <f t="shared" si="19"/>
        <v>10.246716980094996</v>
      </c>
      <c r="Q174" s="4" t="str">
        <f t="shared" si="20"/>
        <v>2025-05</v>
      </c>
    </row>
    <row r="175" spans="1:17" x14ac:dyDescent="0.3">
      <c r="A175" t="s">
        <v>183</v>
      </c>
      <c r="B175" s="2">
        <v>45708</v>
      </c>
      <c r="C175" t="s">
        <v>511</v>
      </c>
      <c r="D175" t="s">
        <v>518</v>
      </c>
      <c r="E175">
        <v>4052.92</v>
      </c>
      <c r="F175">
        <v>3964.73</v>
      </c>
      <c r="G175">
        <v>191309</v>
      </c>
      <c r="H175">
        <v>5182</v>
      </c>
      <c r="I175">
        <v>356</v>
      </c>
      <c r="J175">
        <v>11187.91</v>
      </c>
      <c r="K175">
        <f t="shared" si="14"/>
        <v>2.7087068564469002E-2</v>
      </c>
      <c r="L175">
        <f t="shared" si="15"/>
        <v>0.76509648784253181</v>
      </c>
      <c r="M175">
        <f t="shared" si="16"/>
        <v>11.136882022471911</v>
      </c>
      <c r="N175">
        <f t="shared" si="17"/>
        <v>2.8218592438829377</v>
      </c>
      <c r="O175">
        <f t="shared" si="18"/>
        <v>7223.18</v>
      </c>
      <c r="P175">
        <f t="shared" si="19"/>
        <v>64.562371345497056</v>
      </c>
      <c r="Q175" s="4" t="str">
        <f t="shared" si="20"/>
        <v>2025-02</v>
      </c>
    </row>
    <row r="176" spans="1:17" x14ac:dyDescent="0.3">
      <c r="A176" t="s">
        <v>184</v>
      </c>
      <c r="B176" s="2">
        <v>45637</v>
      </c>
      <c r="C176" t="s">
        <v>514</v>
      </c>
      <c r="D176" t="s">
        <v>518</v>
      </c>
      <c r="E176">
        <v>9789.4</v>
      </c>
      <c r="F176">
        <v>10304.67</v>
      </c>
      <c r="G176">
        <v>143568</v>
      </c>
      <c r="H176">
        <v>6593</v>
      </c>
      <c r="I176">
        <v>869</v>
      </c>
      <c r="J176">
        <v>39235.230000000003</v>
      </c>
      <c r="K176">
        <f t="shared" si="14"/>
        <v>4.5922489691296108E-2</v>
      </c>
      <c r="L176">
        <f t="shared" si="15"/>
        <v>1.5629713332322159</v>
      </c>
      <c r="M176">
        <f t="shared" si="16"/>
        <v>11.858078250863061</v>
      </c>
      <c r="N176">
        <f t="shared" si="17"/>
        <v>3.8075193092064086</v>
      </c>
      <c r="O176">
        <f t="shared" si="18"/>
        <v>28930.560000000005</v>
      </c>
      <c r="P176">
        <f t="shared" si="19"/>
        <v>73.736180468420869</v>
      </c>
      <c r="Q176" s="4" t="str">
        <f t="shared" si="20"/>
        <v>2024-12</v>
      </c>
    </row>
    <row r="177" spans="1:17" x14ac:dyDescent="0.3">
      <c r="A177" t="s">
        <v>185</v>
      </c>
      <c r="B177" s="2">
        <v>45790</v>
      </c>
      <c r="C177" t="s">
        <v>511</v>
      </c>
      <c r="D177" t="s">
        <v>515</v>
      </c>
      <c r="E177">
        <v>6280.85</v>
      </c>
      <c r="F177">
        <v>5806.31</v>
      </c>
      <c r="G177">
        <v>69711</v>
      </c>
      <c r="H177">
        <v>1173</v>
      </c>
      <c r="I177">
        <v>209</v>
      </c>
      <c r="J177">
        <v>5894.26</v>
      </c>
      <c r="K177">
        <f t="shared" si="14"/>
        <v>1.6826612729698327E-2</v>
      </c>
      <c r="L177">
        <f t="shared" si="15"/>
        <v>4.9499658994032396</v>
      </c>
      <c r="M177">
        <f t="shared" si="16"/>
        <v>27.781387559808614</v>
      </c>
      <c r="N177">
        <f t="shared" si="17"/>
        <v>1.0151473138705993</v>
      </c>
      <c r="O177">
        <f t="shared" si="18"/>
        <v>87.949999999999818</v>
      </c>
      <c r="P177">
        <f t="shared" si="19"/>
        <v>1.4921296312005208</v>
      </c>
      <c r="Q177" s="4" t="str">
        <f t="shared" si="20"/>
        <v>2025-05</v>
      </c>
    </row>
    <row r="178" spans="1:17" x14ac:dyDescent="0.3">
      <c r="A178" t="s">
        <v>186</v>
      </c>
      <c r="B178" s="2">
        <v>45766</v>
      </c>
      <c r="C178" t="s">
        <v>511</v>
      </c>
      <c r="D178" t="s">
        <v>517</v>
      </c>
      <c r="E178">
        <v>3394.63</v>
      </c>
      <c r="F178">
        <v>3596.33</v>
      </c>
      <c r="G178">
        <v>114949</v>
      </c>
      <c r="H178">
        <v>3456</v>
      </c>
      <c r="I178">
        <v>294</v>
      </c>
      <c r="J178">
        <v>13049.79</v>
      </c>
      <c r="K178">
        <f t="shared" si="14"/>
        <v>3.0065507311938338E-2</v>
      </c>
      <c r="L178">
        <f t="shared" si="15"/>
        <v>1.0406047453703704</v>
      </c>
      <c r="M178">
        <f t="shared" si="16"/>
        <v>12.232414965986393</v>
      </c>
      <c r="N178">
        <f t="shared" si="17"/>
        <v>3.6286408644368011</v>
      </c>
      <c r="O178">
        <f t="shared" si="18"/>
        <v>9453.4600000000009</v>
      </c>
      <c r="P178">
        <f t="shared" si="19"/>
        <v>72.441472238250583</v>
      </c>
      <c r="Q178" s="4" t="str">
        <f t="shared" si="20"/>
        <v>2025-04</v>
      </c>
    </row>
    <row r="179" spans="1:17" x14ac:dyDescent="0.3">
      <c r="A179" t="s">
        <v>187</v>
      </c>
      <c r="B179" s="2">
        <v>45768</v>
      </c>
      <c r="C179" t="s">
        <v>511</v>
      </c>
      <c r="D179" t="s">
        <v>517</v>
      </c>
      <c r="E179">
        <v>9998.02</v>
      </c>
      <c r="F179">
        <v>10987.73</v>
      </c>
      <c r="G179">
        <v>128670</v>
      </c>
      <c r="H179">
        <v>4786</v>
      </c>
      <c r="I179">
        <v>820</v>
      </c>
      <c r="J179">
        <v>30063.62</v>
      </c>
      <c r="K179">
        <f t="shared" si="14"/>
        <v>3.7195927566643354E-2</v>
      </c>
      <c r="L179">
        <f t="shared" si="15"/>
        <v>2.29580651901379</v>
      </c>
      <c r="M179">
        <f t="shared" si="16"/>
        <v>13.399670731707317</v>
      </c>
      <c r="N179">
        <f t="shared" si="17"/>
        <v>2.7361083681524754</v>
      </c>
      <c r="O179">
        <f t="shared" si="18"/>
        <v>19075.89</v>
      </c>
      <c r="P179">
        <f t="shared" si="19"/>
        <v>63.451740010018753</v>
      </c>
      <c r="Q179" s="4" t="str">
        <f t="shared" si="20"/>
        <v>2025-04</v>
      </c>
    </row>
    <row r="180" spans="1:17" x14ac:dyDescent="0.3">
      <c r="A180" t="s">
        <v>188</v>
      </c>
      <c r="B180" s="2">
        <v>45646</v>
      </c>
      <c r="C180" t="s">
        <v>511</v>
      </c>
      <c r="D180" t="s">
        <v>516</v>
      </c>
      <c r="E180">
        <v>8382.91</v>
      </c>
      <c r="F180">
        <v>9082.2900000000009</v>
      </c>
      <c r="G180">
        <v>92405</v>
      </c>
      <c r="H180">
        <v>3028</v>
      </c>
      <c r="I180">
        <v>356</v>
      </c>
      <c r="J180">
        <v>16194.23</v>
      </c>
      <c r="K180">
        <f t="shared" si="14"/>
        <v>3.2768789567664089E-2</v>
      </c>
      <c r="L180">
        <f t="shared" si="15"/>
        <v>2.9994352708058125</v>
      </c>
      <c r="M180">
        <f t="shared" si="16"/>
        <v>25.512050561797754</v>
      </c>
      <c r="N180">
        <f t="shared" si="17"/>
        <v>1.7830558152184084</v>
      </c>
      <c r="O180">
        <f t="shared" si="18"/>
        <v>7111.9399999999987</v>
      </c>
      <c r="P180">
        <f t="shared" si="19"/>
        <v>43.91650606419693</v>
      </c>
      <c r="Q180" s="4" t="str">
        <f t="shared" si="20"/>
        <v>2024-12</v>
      </c>
    </row>
    <row r="181" spans="1:17" x14ac:dyDescent="0.3">
      <c r="A181" t="s">
        <v>189</v>
      </c>
      <c r="B181" s="2">
        <v>45708</v>
      </c>
      <c r="C181" t="s">
        <v>511</v>
      </c>
      <c r="D181" t="s">
        <v>515</v>
      </c>
      <c r="E181">
        <v>4731.4399999999996</v>
      </c>
      <c r="F181">
        <v>4424.67</v>
      </c>
      <c r="G181">
        <v>113689</v>
      </c>
      <c r="H181">
        <v>4258</v>
      </c>
      <c r="I181">
        <v>100</v>
      </c>
      <c r="J181">
        <v>2387.48</v>
      </c>
      <c r="K181">
        <f t="shared" si="14"/>
        <v>3.745305174643105E-2</v>
      </c>
      <c r="L181">
        <f t="shared" si="15"/>
        <v>1.0391427900422734</v>
      </c>
      <c r="M181">
        <f t="shared" si="16"/>
        <v>44.246700000000004</v>
      </c>
      <c r="N181">
        <f t="shared" si="17"/>
        <v>0.53958374296840217</v>
      </c>
      <c r="O181">
        <f t="shared" si="18"/>
        <v>-2037.19</v>
      </c>
      <c r="P181">
        <f t="shared" si="19"/>
        <v>-85.328044632834619</v>
      </c>
      <c r="Q181" s="4" t="str">
        <f t="shared" si="20"/>
        <v>2025-02</v>
      </c>
    </row>
    <row r="182" spans="1:17" x14ac:dyDescent="0.3">
      <c r="A182" t="s">
        <v>190</v>
      </c>
      <c r="B182" s="2">
        <v>45696</v>
      </c>
      <c r="C182" t="s">
        <v>514</v>
      </c>
      <c r="D182" t="s">
        <v>517</v>
      </c>
      <c r="E182">
        <v>9678.36</v>
      </c>
      <c r="F182">
        <v>9502.7199999999993</v>
      </c>
      <c r="G182">
        <v>72317</v>
      </c>
      <c r="H182">
        <v>1429</v>
      </c>
      <c r="I182">
        <v>157</v>
      </c>
      <c r="J182">
        <v>4216.91</v>
      </c>
      <c r="K182">
        <f t="shared" si="14"/>
        <v>1.9760222354356514E-2</v>
      </c>
      <c r="L182">
        <f t="shared" si="15"/>
        <v>6.6499090272918124</v>
      </c>
      <c r="M182">
        <f t="shared" si="16"/>
        <v>60.526878980891716</v>
      </c>
      <c r="N182">
        <f t="shared" si="17"/>
        <v>0.44375820817618539</v>
      </c>
      <c r="O182">
        <f t="shared" si="18"/>
        <v>-5285.8099999999995</v>
      </c>
      <c r="P182">
        <f t="shared" si="19"/>
        <v>-125.34794434787557</v>
      </c>
      <c r="Q182" s="4" t="str">
        <f t="shared" si="20"/>
        <v>2025-02</v>
      </c>
    </row>
    <row r="183" spans="1:17" x14ac:dyDescent="0.3">
      <c r="A183" t="s">
        <v>191</v>
      </c>
      <c r="B183" s="2">
        <v>45715</v>
      </c>
      <c r="C183" t="s">
        <v>512</v>
      </c>
      <c r="D183" t="s">
        <v>516</v>
      </c>
      <c r="E183">
        <v>7701.9</v>
      </c>
      <c r="F183">
        <v>7589.75</v>
      </c>
      <c r="G183">
        <v>59223</v>
      </c>
      <c r="H183">
        <v>1286</v>
      </c>
      <c r="I183">
        <v>233</v>
      </c>
      <c r="J183">
        <v>7163.56</v>
      </c>
      <c r="K183">
        <f t="shared" si="14"/>
        <v>2.1714536582071155E-2</v>
      </c>
      <c r="L183">
        <f t="shared" si="15"/>
        <v>5.9018273716951786</v>
      </c>
      <c r="M183">
        <f t="shared" si="16"/>
        <v>32.574034334763951</v>
      </c>
      <c r="N183">
        <f t="shared" si="17"/>
        <v>0.94384663526466617</v>
      </c>
      <c r="O183">
        <f t="shared" si="18"/>
        <v>-426.1899999999996</v>
      </c>
      <c r="P183">
        <f t="shared" si="19"/>
        <v>-5.9494162120509859</v>
      </c>
      <c r="Q183" s="4" t="str">
        <f t="shared" si="20"/>
        <v>2025-02</v>
      </c>
    </row>
    <row r="184" spans="1:17" x14ac:dyDescent="0.3">
      <c r="A184" t="s">
        <v>192</v>
      </c>
      <c r="B184" s="2">
        <v>45702</v>
      </c>
      <c r="C184" t="s">
        <v>512</v>
      </c>
      <c r="D184" t="s">
        <v>518</v>
      </c>
      <c r="E184">
        <v>3794.9</v>
      </c>
      <c r="F184">
        <v>3800.49</v>
      </c>
      <c r="G184">
        <v>123058</v>
      </c>
      <c r="H184">
        <v>4679</v>
      </c>
      <c r="I184">
        <v>186</v>
      </c>
      <c r="J184">
        <v>6623.32</v>
      </c>
      <c r="K184">
        <f t="shared" si="14"/>
        <v>3.8022720993352729E-2</v>
      </c>
      <c r="L184">
        <f t="shared" si="15"/>
        <v>0.81224406924556525</v>
      </c>
      <c r="M184">
        <f t="shared" si="16"/>
        <v>20.432741935483868</v>
      </c>
      <c r="N184">
        <f t="shared" si="17"/>
        <v>1.7427542237974578</v>
      </c>
      <c r="O184">
        <f t="shared" si="18"/>
        <v>2822.83</v>
      </c>
      <c r="P184">
        <f t="shared" si="19"/>
        <v>42.619562394690277</v>
      </c>
      <c r="Q184" s="4" t="str">
        <f t="shared" si="20"/>
        <v>2025-02</v>
      </c>
    </row>
    <row r="185" spans="1:17" x14ac:dyDescent="0.3">
      <c r="A185" t="s">
        <v>193</v>
      </c>
      <c r="B185" s="2">
        <v>45665</v>
      </c>
      <c r="C185" t="s">
        <v>512</v>
      </c>
      <c r="D185" t="s">
        <v>517</v>
      </c>
      <c r="E185">
        <v>8406.23</v>
      </c>
      <c r="F185">
        <v>8036.77</v>
      </c>
      <c r="G185">
        <v>133482</v>
      </c>
      <c r="H185">
        <v>2397</v>
      </c>
      <c r="I185">
        <v>50</v>
      </c>
      <c r="J185">
        <v>2278.27</v>
      </c>
      <c r="K185">
        <f t="shared" si="14"/>
        <v>1.7957477412684858E-2</v>
      </c>
      <c r="L185">
        <f t="shared" si="15"/>
        <v>3.3528452231956614</v>
      </c>
      <c r="M185">
        <f t="shared" si="16"/>
        <v>160.7354</v>
      </c>
      <c r="N185">
        <f t="shared" si="17"/>
        <v>0.28348080136671822</v>
      </c>
      <c r="O185">
        <f t="shared" si="18"/>
        <v>-5758.5</v>
      </c>
      <c r="P185">
        <f t="shared" si="19"/>
        <v>-252.75757482651309</v>
      </c>
      <c r="Q185" s="4" t="str">
        <f t="shared" si="20"/>
        <v>2025-01</v>
      </c>
    </row>
    <row r="186" spans="1:17" x14ac:dyDescent="0.3">
      <c r="A186" t="s">
        <v>194</v>
      </c>
      <c r="B186" s="2">
        <v>45765</v>
      </c>
      <c r="C186" t="s">
        <v>510</v>
      </c>
      <c r="D186" t="s">
        <v>516</v>
      </c>
      <c r="E186">
        <v>6863.35</v>
      </c>
      <c r="F186">
        <v>6645.65</v>
      </c>
      <c r="G186">
        <v>130705</v>
      </c>
      <c r="H186">
        <v>4818</v>
      </c>
      <c r="I186">
        <v>159</v>
      </c>
      <c r="J186">
        <v>7361.64</v>
      </c>
      <c r="K186">
        <f t="shared" si="14"/>
        <v>3.6861634979534062E-2</v>
      </c>
      <c r="L186">
        <f t="shared" si="15"/>
        <v>1.3793378995433789</v>
      </c>
      <c r="M186">
        <f t="shared" si="16"/>
        <v>41.796540880503144</v>
      </c>
      <c r="N186">
        <f t="shared" si="17"/>
        <v>1.1077381445005381</v>
      </c>
      <c r="O186">
        <f t="shared" si="18"/>
        <v>715.99000000000069</v>
      </c>
      <c r="P186">
        <f t="shared" si="19"/>
        <v>9.7259578028808882</v>
      </c>
      <c r="Q186" s="4" t="str">
        <f t="shared" si="20"/>
        <v>2025-04</v>
      </c>
    </row>
    <row r="187" spans="1:17" x14ac:dyDescent="0.3">
      <c r="A187" t="s">
        <v>195</v>
      </c>
      <c r="B187" s="2">
        <v>45729</v>
      </c>
      <c r="C187" t="s">
        <v>513</v>
      </c>
      <c r="D187" t="s">
        <v>515</v>
      </c>
      <c r="E187">
        <v>5824.38</v>
      </c>
      <c r="F187">
        <v>4893.67</v>
      </c>
      <c r="G187">
        <v>168213</v>
      </c>
      <c r="H187">
        <v>2627</v>
      </c>
      <c r="I187">
        <v>160</v>
      </c>
      <c r="J187">
        <v>3338.16</v>
      </c>
      <c r="K187">
        <f t="shared" si="14"/>
        <v>1.5617104504408102E-2</v>
      </c>
      <c r="L187">
        <f t="shared" si="15"/>
        <v>1.8628359345260754</v>
      </c>
      <c r="M187">
        <f t="shared" si="16"/>
        <v>30.585437500000001</v>
      </c>
      <c r="N187">
        <f t="shared" si="17"/>
        <v>0.68213835424129532</v>
      </c>
      <c r="O187">
        <f t="shared" si="18"/>
        <v>-1555.5100000000002</v>
      </c>
      <c r="P187">
        <f t="shared" si="19"/>
        <v>-46.597826347448901</v>
      </c>
      <c r="Q187" s="4" t="str">
        <f t="shared" si="20"/>
        <v>2025-03</v>
      </c>
    </row>
    <row r="188" spans="1:17" x14ac:dyDescent="0.3">
      <c r="A188" t="s">
        <v>196</v>
      </c>
      <c r="B188" s="2">
        <v>45759</v>
      </c>
      <c r="C188" t="s">
        <v>510</v>
      </c>
      <c r="D188" t="s">
        <v>515</v>
      </c>
      <c r="E188">
        <v>8285.9599999999991</v>
      </c>
      <c r="F188">
        <v>8170.73</v>
      </c>
      <c r="G188">
        <v>55771</v>
      </c>
      <c r="H188">
        <v>1773</v>
      </c>
      <c r="I188">
        <v>177</v>
      </c>
      <c r="J188">
        <v>7278.66</v>
      </c>
      <c r="K188">
        <f t="shared" si="14"/>
        <v>3.1790715604884258E-2</v>
      </c>
      <c r="L188">
        <f t="shared" si="15"/>
        <v>4.6084207557811618</v>
      </c>
      <c r="M188">
        <f t="shared" si="16"/>
        <v>46.162316384180791</v>
      </c>
      <c r="N188">
        <f t="shared" si="17"/>
        <v>0.89082126076862167</v>
      </c>
      <c r="O188">
        <f t="shared" si="18"/>
        <v>-892.06999999999971</v>
      </c>
      <c r="P188">
        <f t="shared" si="19"/>
        <v>-12.255964696798582</v>
      </c>
      <c r="Q188" s="4" t="str">
        <f t="shared" si="20"/>
        <v>2025-04</v>
      </c>
    </row>
    <row r="189" spans="1:17" x14ac:dyDescent="0.3">
      <c r="A189" t="s">
        <v>197</v>
      </c>
      <c r="B189" s="2">
        <v>45725</v>
      </c>
      <c r="C189" t="s">
        <v>512</v>
      </c>
      <c r="D189" t="s">
        <v>516</v>
      </c>
      <c r="E189">
        <v>4490.75</v>
      </c>
      <c r="F189">
        <v>3776.32</v>
      </c>
      <c r="G189">
        <v>158774</v>
      </c>
      <c r="H189">
        <v>5263</v>
      </c>
      <c r="I189">
        <v>268</v>
      </c>
      <c r="J189">
        <v>5476.94</v>
      </c>
      <c r="K189">
        <f t="shared" si="14"/>
        <v>3.314774459294343E-2</v>
      </c>
      <c r="L189">
        <f t="shared" si="15"/>
        <v>0.71752232566977014</v>
      </c>
      <c r="M189">
        <f t="shared" si="16"/>
        <v>14.090746268656718</v>
      </c>
      <c r="N189">
        <f t="shared" si="17"/>
        <v>1.4503378950936359</v>
      </c>
      <c r="O189">
        <f t="shared" si="18"/>
        <v>1700.6199999999994</v>
      </c>
      <c r="P189">
        <f t="shared" si="19"/>
        <v>31.050550124704664</v>
      </c>
      <c r="Q189" s="4" t="str">
        <f t="shared" si="20"/>
        <v>2025-03</v>
      </c>
    </row>
    <row r="190" spans="1:17" x14ac:dyDescent="0.3">
      <c r="A190" t="s">
        <v>198</v>
      </c>
      <c r="B190" s="2">
        <v>45643</v>
      </c>
      <c r="C190" t="s">
        <v>510</v>
      </c>
      <c r="D190" t="s">
        <v>518</v>
      </c>
      <c r="E190">
        <v>5454.11</v>
      </c>
      <c r="F190">
        <v>5328.53</v>
      </c>
      <c r="G190">
        <v>167161</v>
      </c>
      <c r="H190">
        <v>1156</v>
      </c>
      <c r="I190">
        <v>85</v>
      </c>
      <c r="J190">
        <v>2700.22</v>
      </c>
      <c r="K190">
        <f t="shared" si="14"/>
        <v>6.9154886606325634E-3</v>
      </c>
      <c r="L190">
        <f t="shared" si="15"/>
        <v>4.6094550173010376</v>
      </c>
      <c r="M190">
        <f t="shared" si="16"/>
        <v>62.688588235294112</v>
      </c>
      <c r="N190">
        <f t="shared" si="17"/>
        <v>0.50674763959290836</v>
      </c>
      <c r="O190">
        <f t="shared" si="18"/>
        <v>-2628.31</v>
      </c>
      <c r="P190">
        <f t="shared" si="19"/>
        <v>-97.336883661331314</v>
      </c>
      <c r="Q190" s="4" t="str">
        <f t="shared" si="20"/>
        <v>2024-12</v>
      </c>
    </row>
    <row r="191" spans="1:17" x14ac:dyDescent="0.3">
      <c r="A191" t="s">
        <v>199</v>
      </c>
      <c r="B191" s="2">
        <v>45804</v>
      </c>
      <c r="C191" t="s">
        <v>511</v>
      </c>
      <c r="D191" t="s">
        <v>517</v>
      </c>
      <c r="E191">
        <v>6062.32</v>
      </c>
      <c r="F191">
        <v>6494.25</v>
      </c>
      <c r="G191">
        <v>54315</v>
      </c>
      <c r="H191">
        <v>1126</v>
      </c>
      <c r="I191">
        <v>180</v>
      </c>
      <c r="J191">
        <v>5480.58</v>
      </c>
      <c r="K191">
        <f t="shared" si="14"/>
        <v>2.0730921476571851E-2</v>
      </c>
      <c r="L191">
        <f t="shared" si="15"/>
        <v>5.767539964476021</v>
      </c>
      <c r="M191">
        <f t="shared" si="16"/>
        <v>36.079166666666666</v>
      </c>
      <c r="N191">
        <f t="shared" si="17"/>
        <v>0.84391269199676633</v>
      </c>
      <c r="O191">
        <f t="shared" si="18"/>
        <v>-1013.6700000000001</v>
      </c>
      <c r="P191">
        <f t="shared" si="19"/>
        <v>-18.495670166296268</v>
      </c>
      <c r="Q191" s="4" t="str">
        <f t="shared" si="20"/>
        <v>2025-05</v>
      </c>
    </row>
    <row r="192" spans="1:17" x14ac:dyDescent="0.3">
      <c r="A192" t="s">
        <v>200</v>
      </c>
      <c r="B192" s="2">
        <v>45703</v>
      </c>
      <c r="C192" t="s">
        <v>513</v>
      </c>
      <c r="D192" t="s">
        <v>515</v>
      </c>
      <c r="E192">
        <v>6597.93</v>
      </c>
      <c r="F192">
        <v>6829.49</v>
      </c>
      <c r="G192">
        <v>112474</v>
      </c>
      <c r="H192">
        <v>3364</v>
      </c>
      <c r="I192">
        <v>62</v>
      </c>
      <c r="J192">
        <v>1977.57</v>
      </c>
      <c r="K192">
        <f t="shared" si="14"/>
        <v>2.9909134555541724E-2</v>
      </c>
      <c r="L192">
        <f t="shared" si="15"/>
        <v>2.0301694411414983</v>
      </c>
      <c r="M192">
        <f t="shared" si="16"/>
        <v>110.15306451612904</v>
      </c>
      <c r="N192">
        <f t="shared" si="17"/>
        <v>0.28956334953268836</v>
      </c>
      <c r="O192">
        <f t="shared" si="18"/>
        <v>-4851.92</v>
      </c>
      <c r="P192">
        <f t="shared" si="19"/>
        <v>-245.34757303154882</v>
      </c>
      <c r="Q192" s="4" t="str">
        <f t="shared" si="20"/>
        <v>2025-02</v>
      </c>
    </row>
    <row r="193" spans="1:17" x14ac:dyDescent="0.3">
      <c r="A193" t="s">
        <v>201</v>
      </c>
      <c r="B193" s="2">
        <v>45673</v>
      </c>
      <c r="C193" t="s">
        <v>511</v>
      </c>
      <c r="D193" t="s">
        <v>518</v>
      </c>
      <c r="E193">
        <v>7354.61</v>
      </c>
      <c r="F193">
        <v>7786.39</v>
      </c>
      <c r="G193">
        <v>76227</v>
      </c>
      <c r="H193">
        <v>3059</v>
      </c>
      <c r="I193">
        <v>504</v>
      </c>
      <c r="J193">
        <v>24436.75</v>
      </c>
      <c r="K193">
        <f t="shared" si="14"/>
        <v>4.0130137615280677E-2</v>
      </c>
      <c r="L193">
        <f t="shared" si="15"/>
        <v>2.5454037267080745</v>
      </c>
      <c r="M193">
        <f t="shared" si="16"/>
        <v>15.449186507936508</v>
      </c>
      <c r="N193">
        <f t="shared" si="17"/>
        <v>3.138392759674252</v>
      </c>
      <c r="O193">
        <f t="shared" si="18"/>
        <v>16650.36</v>
      </c>
      <c r="P193">
        <f t="shared" si="19"/>
        <v>68.136556620663555</v>
      </c>
      <c r="Q193" s="4" t="str">
        <f t="shared" si="20"/>
        <v>2025-01</v>
      </c>
    </row>
    <row r="194" spans="1:17" x14ac:dyDescent="0.3">
      <c r="A194" t="s">
        <v>202</v>
      </c>
      <c r="B194" s="2">
        <v>45747</v>
      </c>
      <c r="C194" t="s">
        <v>512</v>
      </c>
      <c r="D194" t="s">
        <v>518</v>
      </c>
      <c r="E194">
        <v>4029.51</v>
      </c>
      <c r="F194">
        <v>4343.72</v>
      </c>
      <c r="G194">
        <v>85573</v>
      </c>
      <c r="H194">
        <v>1887</v>
      </c>
      <c r="I194">
        <v>171</v>
      </c>
      <c r="J194">
        <v>5944.56</v>
      </c>
      <c r="K194">
        <f t="shared" si="14"/>
        <v>2.2051347971907026E-2</v>
      </c>
      <c r="L194">
        <f t="shared" si="15"/>
        <v>2.3019183889772128</v>
      </c>
      <c r="M194">
        <f t="shared" si="16"/>
        <v>25.401871345029242</v>
      </c>
      <c r="N194">
        <f t="shared" si="17"/>
        <v>1.368541250356837</v>
      </c>
      <c r="O194">
        <f t="shared" si="18"/>
        <v>1600.8400000000001</v>
      </c>
      <c r="P194">
        <f t="shared" si="19"/>
        <v>26.929495202336255</v>
      </c>
      <c r="Q194" s="4" t="str">
        <f t="shared" si="20"/>
        <v>2025-03</v>
      </c>
    </row>
    <row r="195" spans="1:17" x14ac:dyDescent="0.3">
      <c r="A195" t="s">
        <v>203</v>
      </c>
      <c r="B195" s="2">
        <v>45641</v>
      </c>
      <c r="C195" t="s">
        <v>514</v>
      </c>
      <c r="D195" t="s">
        <v>516</v>
      </c>
      <c r="E195">
        <v>4807.71</v>
      </c>
      <c r="F195">
        <v>4508.3900000000003</v>
      </c>
      <c r="G195">
        <v>156215</v>
      </c>
      <c r="H195">
        <v>6524</v>
      </c>
      <c r="I195">
        <v>641</v>
      </c>
      <c r="J195">
        <v>31666.03</v>
      </c>
      <c r="K195">
        <f t="shared" ref="K195:K258" si="21">H195/G195</f>
        <v>4.1762954901898026E-2</v>
      </c>
      <c r="L195">
        <f t="shared" ref="L195:L258" si="22">F195/H195</f>
        <v>0.69104690374003686</v>
      </c>
      <c r="M195">
        <f t="shared" ref="M195:M258" si="23">F195/I195</f>
        <v>7.0333697347893924</v>
      </c>
      <c r="N195">
        <f t="shared" ref="N195:N258" si="24">J195/F195</f>
        <v>7.0238000705351569</v>
      </c>
      <c r="O195">
        <f t="shared" ref="O195:O258" si="25">J195-F195</f>
        <v>27157.64</v>
      </c>
      <c r="P195">
        <f t="shared" ref="P195:P258" si="26">(O195/J195)*100</f>
        <v>85.762692702558553</v>
      </c>
      <c r="Q195" s="4" t="str">
        <f t="shared" ref="Q195:Q258" si="27">TEXT(B195,"yyyy-mm")</f>
        <v>2024-12</v>
      </c>
    </row>
    <row r="196" spans="1:17" x14ac:dyDescent="0.3">
      <c r="A196" t="s">
        <v>204</v>
      </c>
      <c r="B196" s="2">
        <v>45817</v>
      </c>
      <c r="C196" t="s">
        <v>511</v>
      </c>
      <c r="D196" t="s">
        <v>518</v>
      </c>
      <c r="E196">
        <v>6448.33</v>
      </c>
      <c r="F196">
        <v>5794.63</v>
      </c>
      <c r="G196">
        <v>83163</v>
      </c>
      <c r="H196">
        <v>2401</v>
      </c>
      <c r="I196">
        <v>165</v>
      </c>
      <c r="J196">
        <v>6435.33</v>
      </c>
      <c r="K196">
        <f t="shared" si="21"/>
        <v>2.8871012349241849E-2</v>
      </c>
      <c r="L196">
        <f t="shared" si="22"/>
        <v>2.4134235735110372</v>
      </c>
      <c r="M196">
        <f t="shared" si="23"/>
        <v>35.1189696969697</v>
      </c>
      <c r="N196">
        <f t="shared" si="24"/>
        <v>1.1105678878547898</v>
      </c>
      <c r="O196">
        <f t="shared" si="25"/>
        <v>640.69999999999982</v>
      </c>
      <c r="P196">
        <f t="shared" si="26"/>
        <v>9.9559773935446945</v>
      </c>
      <c r="Q196" s="4" t="str">
        <f t="shared" si="27"/>
        <v>2025-06</v>
      </c>
    </row>
    <row r="197" spans="1:17" x14ac:dyDescent="0.3">
      <c r="A197" t="s">
        <v>205</v>
      </c>
      <c r="B197" s="2">
        <v>45776</v>
      </c>
      <c r="C197" t="s">
        <v>513</v>
      </c>
      <c r="D197" t="s">
        <v>518</v>
      </c>
      <c r="E197">
        <v>4681.0200000000004</v>
      </c>
      <c r="F197">
        <v>3851.35</v>
      </c>
      <c r="G197">
        <v>122395</v>
      </c>
      <c r="H197">
        <v>3701</v>
      </c>
      <c r="I197">
        <v>421</v>
      </c>
      <c r="J197">
        <v>10047.75</v>
      </c>
      <c r="K197">
        <f t="shared" si="21"/>
        <v>3.0238163323665183E-2</v>
      </c>
      <c r="L197">
        <f t="shared" si="22"/>
        <v>1.0406241556336124</v>
      </c>
      <c r="M197">
        <f t="shared" si="23"/>
        <v>9.1480997624703093</v>
      </c>
      <c r="N197">
        <f t="shared" si="24"/>
        <v>2.6088903890843471</v>
      </c>
      <c r="O197">
        <f t="shared" si="25"/>
        <v>6196.4</v>
      </c>
      <c r="P197">
        <f t="shared" si="26"/>
        <v>61.669528003781934</v>
      </c>
      <c r="Q197" s="4" t="str">
        <f t="shared" si="27"/>
        <v>2025-04</v>
      </c>
    </row>
    <row r="198" spans="1:17" x14ac:dyDescent="0.3">
      <c r="A198" t="s">
        <v>206</v>
      </c>
      <c r="B198" s="2">
        <v>45680</v>
      </c>
      <c r="C198" t="s">
        <v>510</v>
      </c>
      <c r="D198" t="s">
        <v>517</v>
      </c>
      <c r="E198">
        <v>3896.32</v>
      </c>
      <c r="F198">
        <v>3294.61</v>
      </c>
      <c r="G198">
        <v>148880</v>
      </c>
      <c r="H198">
        <v>1344</v>
      </c>
      <c r="I198">
        <v>233</v>
      </c>
      <c r="J198">
        <v>5630.4</v>
      </c>
      <c r="K198">
        <f t="shared" si="21"/>
        <v>9.0274046211714139E-3</v>
      </c>
      <c r="L198">
        <f t="shared" si="22"/>
        <v>2.4513467261904762</v>
      </c>
      <c r="M198">
        <f t="shared" si="23"/>
        <v>14.139957081545065</v>
      </c>
      <c r="N198">
        <f t="shared" si="24"/>
        <v>1.7089731409787499</v>
      </c>
      <c r="O198">
        <f t="shared" si="25"/>
        <v>2335.7899999999995</v>
      </c>
      <c r="P198">
        <f t="shared" si="26"/>
        <v>41.485329639102012</v>
      </c>
      <c r="Q198" s="4" t="str">
        <f t="shared" si="27"/>
        <v>2025-01</v>
      </c>
    </row>
    <row r="199" spans="1:17" x14ac:dyDescent="0.3">
      <c r="A199" t="s">
        <v>207</v>
      </c>
      <c r="B199" s="2">
        <v>45638</v>
      </c>
      <c r="C199" t="s">
        <v>513</v>
      </c>
      <c r="D199" t="s">
        <v>518</v>
      </c>
      <c r="E199">
        <v>7486.12</v>
      </c>
      <c r="F199">
        <v>6397.37</v>
      </c>
      <c r="G199">
        <v>150378</v>
      </c>
      <c r="H199">
        <v>1516</v>
      </c>
      <c r="I199">
        <v>269</v>
      </c>
      <c r="J199">
        <v>8169.53</v>
      </c>
      <c r="K199">
        <f t="shared" si="21"/>
        <v>1.0081261886712153E-2</v>
      </c>
      <c r="L199">
        <f t="shared" si="22"/>
        <v>4.2199010554089709</v>
      </c>
      <c r="M199">
        <f t="shared" si="23"/>
        <v>23.782044609665427</v>
      </c>
      <c r="N199">
        <f t="shared" si="24"/>
        <v>1.2770138353729736</v>
      </c>
      <c r="O199">
        <f t="shared" si="25"/>
        <v>1772.1599999999999</v>
      </c>
      <c r="P199">
        <f t="shared" si="26"/>
        <v>21.692312776867212</v>
      </c>
      <c r="Q199" s="4" t="str">
        <f t="shared" si="27"/>
        <v>2024-12</v>
      </c>
    </row>
    <row r="200" spans="1:17" x14ac:dyDescent="0.3">
      <c r="A200" t="s">
        <v>208</v>
      </c>
      <c r="B200" s="2">
        <v>45726</v>
      </c>
      <c r="C200" t="s">
        <v>512</v>
      </c>
      <c r="D200" t="s">
        <v>517</v>
      </c>
      <c r="E200">
        <v>9277.52</v>
      </c>
      <c r="F200">
        <v>8741.17</v>
      </c>
      <c r="G200">
        <v>141253</v>
      </c>
      <c r="H200">
        <v>2934</v>
      </c>
      <c r="I200">
        <v>357</v>
      </c>
      <c r="J200">
        <v>14289.54</v>
      </c>
      <c r="K200">
        <f t="shared" si="21"/>
        <v>2.0771240256844101E-2</v>
      </c>
      <c r="L200">
        <f t="shared" si="22"/>
        <v>2.9792672119972732</v>
      </c>
      <c r="M200">
        <f t="shared" si="23"/>
        <v>24.485070028011204</v>
      </c>
      <c r="N200">
        <f t="shared" si="24"/>
        <v>1.6347399718801947</v>
      </c>
      <c r="O200">
        <f t="shared" si="25"/>
        <v>5548.3700000000008</v>
      </c>
      <c r="P200">
        <f t="shared" si="26"/>
        <v>38.828191810233221</v>
      </c>
      <c r="Q200" s="4" t="str">
        <f t="shared" si="27"/>
        <v>2025-03</v>
      </c>
    </row>
    <row r="201" spans="1:17" x14ac:dyDescent="0.3">
      <c r="A201" t="s">
        <v>209</v>
      </c>
      <c r="B201" s="2">
        <v>45758</v>
      </c>
      <c r="C201" t="s">
        <v>514</v>
      </c>
      <c r="D201" t="s">
        <v>516</v>
      </c>
      <c r="E201">
        <v>4206.24</v>
      </c>
      <c r="F201">
        <v>3607.64</v>
      </c>
      <c r="G201">
        <v>171015</v>
      </c>
      <c r="H201">
        <v>7567</v>
      </c>
      <c r="I201">
        <v>1110</v>
      </c>
      <c r="J201">
        <v>23560.92</v>
      </c>
      <c r="K201">
        <f t="shared" si="21"/>
        <v>4.4247580621582905E-2</v>
      </c>
      <c r="L201">
        <f t="shared" si="22"/>
        <v>0.47675961411391565</v>
      </c>
      <c r="M201">
        <f t="shared" si="23"/>
        <v>3.2501261261261258</v>
      </c>
      <c r="N201">
        <f t="shared" si="24"/>
        <v>6.5308401059972718</v>
      </c>
      <c r="O201">
        <f t="shared" si="25"/>
        <v>19953.28</v>
      </c>
      <c r="P201">
        <f t="shared" si="26"/>
        <v>84.688034253331367</v>
      </c>
      <c r="Q201" s="4" t="str">
        <f t="shared" si="27"/>
        <v>2025-04</v>
      </c>
    </row>
    <row r="202" spans="1:17" x14ac:dyDescent="0.3">
      <c r="A202" t="s">
        <v>210</v>
      </c>
      <c r="B202" s="2">
        <v>45807</v>
      </c>
      <c r="C202" t="s">
        <v>513</v>
      </c>
      <c r="D202" t="s">
        <v>516</v>
      </c>
      <c r="E202">
        <v>4182.55</v>
      </c>
      <c r="F202">
        <v>3695.61</v>
      </c>
      <c r="G202">
        <v>127713</v>
      </c>
      <c r="H202">
        <v>1869</v>
      </c>
      <c r="I202">
        <v>349</v>
      </c>
      <c r="J202">
        <v>8833.2999999999993</v>
      </c>
      <c r="K202">
        <f t="shared" si="21"/>
        <v>1.4634375513847454E-2</v>
      </c>
      <c r="L202">
        <f t="shared" si="22"/>
        <v>1.977319422150883</v>
      </c>
      <c r="M202">
        <f t="shared" si="23"/>
        <v>10.589140401146132</v>
      </c>
      <c r="N202">
        <f t="shared" si="24"/>
        <v>2.390214335387121</v>
      </c>
      <c r="O202">
        <f t="shared" si="25"/>
        <v>5137.6899999999987</v>
      </c>
      <c r="P202">
        <f t="shared" si="26"/>
        <v>58.162747783953897</v>
      </c>
      <c r="Q202" s="4" t="str">
        <f t="shared" si="27"/>
        <v>2025-05</v>
      </c>
    </row>
    <row r="203" spans="1:17" x14ac:dyDescent="0.3">
      <c r="A203" t="s">
        <v>211</v>
      </c>
      <c r="B203" s="2">
        <v>45816</v>
      </c>
      <c r="C203" t="s">
        <v>512</v>
      </c>
      <c r="D203" t="s">
        <v>516</v>
      </c>
      <c r="E203">
        <v>3620.92</v>
      </c>
      <c r="F203">
        <v>3027.78</v>
      </c>
      <c r="G203">
        <v>95400</v>
      </c>
      <c r="H203">
        <v>1371</v>
      </c>
      <c r="I203">
        <v>250</v>
      </c>
      <c r="J203">
        <v>8455.84</v>
      </c>
      <c r="K203">
        <f t="shared" si="21"/>
        <v>1.4371069182389937E-2</v>
      </c>
      <c r="L203">
        <f t="shared" si="22"/>
        <v>2.2084463894967179</v>
      </c>
      <c r="M203">
        <f t="shared" si="23"/>
        <v>12.111120000000001</v>
      </c>
      <c r="N203">
        <f t="shared" si="24"/>
        <v>2.7927524456862782</v>
      </c>
      <c r="O203">
        <f t="shared" si="25"/>
        <v>5428.0599999999995</v>
      </c>
      <c r="P203">
        <f t="shared" si="26"/>
        <v>64.193031088573093</v>
      </c>
      <c r="Q203" s="4" t="str">
        <f t="shared" si="27"/>
        <v>2025-06</v>
      </c>
    </row>
    <row r="204" spans="1:17" x14ac:dyDescent="0.3">
      <c r="A204" t="s">
        <v>212</v>
      </c>
      <c r="B204" s="2">
        <v>45647</v>
      </c>
      <c r="C204" t="s">
        <v>510</v>
      </c>
      <c r="D204" t="s">
        <v>515</v>
      </c>
      <c r="E204">
        <v>4444.34</v>
      </c>
      <c r="F204">
        <v>4041.15</v>
      </c>
      <c r="G204">
        <v>154562</v>
      </c>
      <c r="H204">
        <v>4028</v>
      </c>
      <c r="I204">
        <v>250</v>
      </c>
      <c r="J204">
        <v>8775.6299999999992</v>
      </c>
      <c r="K204">
        <f t="shared" si="21"/>
        <v>2.6060739379666412E-2</v>
      </c>
      <c r="L204">
        <f t="shared" si="22"/>
        <v>1.003264647467726</v>
      </c>
      <c r="M204">
        <f t="shared" si="23"/>
        <v>16.1646</v>
      </c>
      <c r="N204">
        <f t="shared" si="24"/>
        <v>2.1715674993504321</v>
      </c>
      <c r="O204">
        <f t="shared" si="25"/>
        <v>4734.4799999999996</v>
      </c>
      <c r="P204">
        <f t="shared" si="26"/>
        <v>53.950314678262416</v>
      </c>
      <c r="Q204" s="4" t="str">
        <f t="shared" si="27"/>
        <v>2024-12</v>
      </c>
    </row>
    <row r="205" spans="1:17" x14ac:dyDescent="0.3">
      <c r="A205" t="s">
        <v>213</v>
      </c>
      <c r="B205" s="2">
        <v>45780</v>
      </c>
      <c r="C205" t="s">
        <v>512</v>
      </c>
      <c r="D205" t="s">
        <v>518</v>
      </c>
      <c r="E205">
        <v>7832.76</v>
      </c>
      <c r="F205">
        <v>6358.58</v>
      </c>
      <c r="G205">
        <v>100148</v>
      </c>
      <c r="H205">
        <v>1610</v>
      </c>
      <c r="I205">
        <v>112</v>
      </c>
      <c r="J205">
        <v>4926.0200000000004</v>
      </c>
      <c r="K205">
        <f t="shared" si="21"/>
        <v>1.607620721332428E-2</v>
      </c>
      <c r="L205">
        <f t="shared" si="22"/>
        <v>3.9494285714285713</v>
      </c>
      <c r="M205">
        <f t="shared" si="23"/>
        <v>56.773035714285712</v>
      </c>
      <c r="N205">
        <f t="shared" si="24"/>
        <v>0.77470441513671295</v>
      </c>
      <c r="O205">
        <f t="shared" si="25"/>
        <v>-1432.5599999999995</v>
      </c>
      <c r="P205">
        <f t="shared" si="26"/>
        <v>-29.081489721925596</v>
      </c>
      <c r="Q205" s="4" t="str">
        <f t="shared" si="27"/>
        <v>2025-05</v>
      </c>
    </row>
    <row r="206" spans="1:17" x14ac:dyDescent="0.3">
      <c r="A206" t="s">
        <v>214</v>
      </c>
      <c r="B206" s="2">
        <v>45715</v>
      </c>
      <c r="C206" t="s">
        <v>510</v>
      </c>
      <c r="D206" t="s">
        <v>516</v>
      </c>
      <c r="E206">
        <v>7395.3</v>
      </c>
      <c r="F206">
        <v>6097.63</v>
      </c>
      <c r="G206">
        <v>109858</v>
      </c>
      <c r="H206">
        <v>3804</v>
      </c>
      <c r="I206">
        <v>713</v>
      </c>
      <c r="J206">
        <v>32945.85</v>
      </c>
      <c r="K206">
        <f t="shared" si="21"/>
        <v>3.4626517868521181E-2</v>
      </c>
      <c r="L206">
        <f t="shared" si="22"/>
        <v>1.6029521556256572</v>
      </c>
      <c r="M206">
        <f t="shared" si="23"/>
        <v>8.552075736325385</v>
      </c>
      <c r="N206">
        <f t="shared" si="24"/>
        <v>5.4030582373807521</v>
      </c>
      <c r="O206">
        <f t="shared" si="25"/>
        <v>26848.219999999998</v>
      </c>
      <c r="P206">
        <f t="shared" si="26"/>
        <v>81.491963327702877</v>
      </c>
      <c r="Q206" s="4" t="str">
        <f t="shared" si="27"/>
        <v>2025-02</v>
      </c>
    </row>
    <row r="207" spans="1:17" x14ac:dyDescent="0.3">
      <c r="A207" t="s">
        <v>215</v>
      </c>
      <c r="B207" s="2">
        <v>45762</v>
      </c>
      <c r="C207" t="s">
        <v>514</v>
      </c>
      <c r="D207" t="s">
        <v>516</v>
      </c>
      <c r="E207">
        <v>9446.11</v>
      </c>
      <c r="F207">
        <v>7729.97</v>
      </c>
      <c r="G207">
        <v>158340</v>
      </c>
      <c r="H207">
        <v>2273</v>
      </c>
      <c r="I207">
        <v>434</v>
      </c>
      <c r="J207">
        <v>12284.95</v>
      </c>
      <c r="K207">
        <f t="shared" si="21"/>
        <v>1.4355185044840218E-2</v>
      </c>
      <c r="L207">
        <f t="shared" si="22"/>
        <v>3.4007787065552133</v>
      </c>
      <c r="M207">
        <f t="shared" si="23"/>
        <v>17.810990783410137</v>
      </c>
      <c r="N207">
        <f t="shared" si="24"/>
        <v>1.5892623127903471</v>
      </c>
      <c r="O207">
        <f t="shared" si="25"/>
        <v>4554.9800000000005</v>
      </c>
      <c r="P207">
        <f t="shared" si="26"/>
        <v>37.077725184066686</v>
      </c>
      <c r="Q207" s="4" t="str">
        <f t="shared" si="27"/>
        <v>2025-04</v>
      </c>
    </row>
    <row r="208" spans="1:17" x14ac:dyDescent="0.3">
      <c r="A208" t="s">
        <v>216</v>
      </c>
      <c r="B208" s="2">
        <v>45769</v>
      </c>
      <c r="C208" t="s">
        <v>512</v>
      </c>
      <c r="D208" t="s">
        <v>518</v>
      </c>
      <c r="E208">
        <v>8643.41</v>
      </c>
      <c r="F208">
        <v>8854.98</v>
      </c>
      <c r="G208">
        <v>114026</v>
      </c>
      <c r="H208">
        <v>4773</v>
      </c>
      <c r="I208">
        <v>185</v>
      </c>
      <c r="J208">
        <v>4724.09</v>
      </c>
      <c r="K208">
        <f t="shared" si="21"/>
        <v>4.1858874291828177E-2</v>
      </c>
      <c r="L208">
        <f t="shared" si="22"/>
        <v>1.8552231301068509</v>
      </c>
      <c r="M208">
        <f t="shared" si="23"/>
        <v>47.864756756756755</v>
      </c>
      <c r="N208">
        <f t="shared" si="24"/>
        <v>0.53349527610451974</v>
      </c>
      <c r="O208">
        <f t="shared" si="25"/>
        <v>-4130.8899999999994</v>
      </c>
      <c r="P208">
        <f t="shared" si="26"/>
        <v>-87.44308427654849</v>
      </c>
      <c r="Q208" s="4" t="str">
        <f t="shared" si="27"/>
        <v>2025-04</v>
      </c>
    </row>
    <row r="209" spans="1:17" x14ac:dyDescent="0.3">
      <c r="A209" t="s">
        <v>217</v>
      </c>
      <c r="B209" s="2">
        <v>45796</v>
      </c>
      <c r="C209" t="s">
        <v>514</v>
      </c>
      <c r="D209" t="s">
        <v>516</v>
      </c>
      <c r="E209">
        <v>4465.45</v>
      </c>
      <c r="F209">
        <v>4068.66</v>
      </c>
      <c r="G209">
        <v>188606</v>
      </c>
      <c r="H209">
        <v>1714</v>
      </c>
      <c r="I209">
        <v>194</v>
      </c>
      <c r="J209">
        <v>6699.92</v>
      </c>
      <c r="K209">
        <f t="shared" si="21"/>
        <v>9.0877278559536815E-3</v>
      </c>
      <c r="L209">
        <f t="shared" si="22"/>
        <v>2.3737806301050175</v>
      </c>
      <c r="M209">
        <f t="shared" si="23"/>
        <v>20.972474226804124</v>
      </c>
      <c r="N209">
        <f t="shared" si="24"/>
        <v>1.6467141515879922</v>
      </c>
      <c r="O209">
        <f t="shared" si="25"/>
        <v>2631.26</v>
      </c>
      <c r="P209">
        <f t="shared" si="26"/>
        <v>39.273006244850691</v>
      </c>
      <c r="Q209" s="4" t="str">
        <f t="shared" si="27"/>
        <v>2025-05</v>
      </c>
    </row>
    <row r="210" spans="1:17" x14ac:dyDescent="0.3">
      <c r="A210" t="s">
        <v>218</v>
      </c>
      <c r="B210" s="2">
        <v>45802</v>
      </c>
      <c r="C210" t="s">
        <v>513</v>
      </c>
      <c r="D210" t="s">
        <v>516</v>
      </c>
      <c r="E210">
        <v>7327.78</v>
      </c>
      <c r="F210">
        <v>6673.22</v>
      </c>
      <c r="G210">
        <v>137418</v>
      </c>
      <c r="H210">
        <v>4255</v>
      </c>
      <c r="I210">
        <v>107</v>
      </c>
      <c r="J210">
        <v>3624.74</v>
      </c>
      <c r="K210">
        <f t="shared" si="21"/>
        <v>3.096392030156166E-2</v>
      </c>
      <c r="L210">
        <f t="shared" si="22"/>
        <v>1.5683243243243243</v>
      </c>
      <c r="M210">
        <f t="shared" si="23"/>
        <v>62.366542056074771</v>
      </c>
      <c r="N210">
        <f t="shared" si="24"/>
        <v>0.5431770569530151</v>
      </c>
      <c r="O210">
        <f t="shared" si="25"/>
        <v>-3048.4800000000005</v>
      </c>
      <c r="P210">
        <f t="shared" si="26"/>
        <v>-84.102032145753924</v>
      </c>
      <c r="Q210" s="4" t="str">
        <f t="shared" si="27"/>
        <v>2025-05</v>
      </c>
    </row>
    <row r="211" spans="1:17" x14ac:dyDescent="0.3">
      <c r="A211" t="s">
        <v>219</v>
      </c>
      <c r="B211" s="2">
        <v>45637</v>
      </c>
      <c r="C211" t="s">
        <v>513</v>
      </c>
      <c r="D211" t="s">
        <v>518</v>
      </c>
      <c r="E211">
        <v>8232.2999999999993</v>
      </c>
      <c r="F211">
        <v>6676.44</v>
      </c>
      <c r="G211">
        <v>195298</v>
      </c>
      <c r="H211">
        <v>3830</v>
      </c>
      <c r="I211">
        <v>340</v>
      </c>
      <c r="J211">
        <v>9374.86</v>
      </c>
      <c r="K211">
        <f t="shared" si="21"/>
        <v>1.9611055924791856E-2</v>
      </c>
      <c r="L211">
        <f t="shared" si="22"/>
        <v>1.743195822454308</v>
      </c>
      <c r="M211">
        <f t="shared" si="23"/>
        <v>19.636588235294116</v>
      </c>
      <c r="N211">
        <f t="shared" si="24"/>
        <v>1.4041704860674253</v>
      </c>
      <c r="O211">
        <f t="shared" si="25"/>
        <v>2698.420000000001</v>
      </c>
      <c r="P211">
        <f t="shared" si="26"/>
        <v>28.783576501409097</v>
      </c>
      <c r="Q211" s="4" t="str">
        <f t="shared" si="27"/>
        <v>2024-12</v>
      </c>
    </row>
    <row r="212" spans="1:17" x14ac:dyDescent="0.3">
      <c r="A212" t="s">
        <v>220</v>
      </c>
      <c r="B212" s="2">
        <v>45746</v>
      </c>
      <c r="C212" t="s">
        <v>513</v>
      </c>
      <c r="D212" t="s">
        <v>516</v>
      </c>
      <c r="E212">
        <v>7993.45</v>
      </c>
      <c r="F212">
        <v>8541.5</v>
      </c>
      <c r="G212">
        <v>191329</v>
      </c>
      <c r="H212">
        <v>5806</v>
      </c>
      <c r="I212">
        <v>454</v>
      </c>
      <c r="J212">
        <v>16049.05</v>
      </c>
      <c r="K212">
        <f t="shared" si="21"/>
        <v>3.0345635005670859E-2</v>
      </c>
      <c r="L212">
        <f t="shared" si="22"/>
        <v>1.4711505339304167</v>
      </c>
      <c r="M212">
        <f t="shared" si="23"/>
        <v>18.81387665198238</v>
      </c>
      <c r="N212">
        <f t="shared" si="24"/>
        <v>1.8789498331674763</v>
      </c>
      <c r="O212">
        <f t="shared" si="25"/>
        <v>7507.5499999999993</v>
      </c>
      <c r="P212">
        <f t="shared" si="26"/>
        <v>46.778781298581535</v>
      </c>
      <c r="Q212" s="4" t="str">
        <f t="shared" si="27"/>
        <v>2025-03</v>
      </c>
    </row>
    <row r="213" spans="1:17" x14ac:dyDescent="0.3">
      <c r="A213" t="s">
        <v>221</v>
      </c>
      <c r="B213" s="2">
        <v>45793</v>
      </c>
      <c r="C213" t="s">
        <v>514</v>
      </c>
      <c r="D213" t="s">
        <v>515</v>
      </c>
      <c r="E213">
        <v>6724.79</v>
      </c>
      <c r="F213">
        <v>5596.04</v>
      </c>
      <c r="G213">
        <v>118663</v>
      </c>
      <c r="H213">
        <v>2481</v>
      </c>
      <c r="I213">
        <v>397</v>
      </c>
      <c r="J213">
        <v>13268.68</v>
      </c>
      <c r="K213">
        <f t="shared" si="21"/>
        <v>2.0907949402930989E-2</v>
      </c>
      <c r="L213">
        <f t="shared" si="22"/>
        <v>2.2555582426440952</v>
      </c>
      <c r="M213">
        <f t="shared" si="23"/>
        <v>14.095818639798489</v>
      </c>
      <c r="N213">
        <f t="shared" si="24"/>
        <v>2.3710838378567702</v>
      </c>
      <c r="O213">
        <f t="shared" si="25"/>
        <v>7672.64</v>
      </c>
      <c r="P213">
        <f t="shared" si="26"/>
        <v>57.825194367487953</v>
      </c>
      <c r="Q213" s="4" t="str">
        <f t="shared" si="27"/>
        <v>2025-05</v>
      </c>
    </row>
    <row r="214" spans="1:17" x14ac:dyDescent="0.3">
      <c r="A214" t="s">
        <v>222</v>
      </c>
      <c r="B214" s="2">
        <v>45770</v>
      </c>
      <c r="C214" t="s">
        <v>514</v>
      </c>
      <c r="D214" t="s">
        <v>518</v>
      </c>
      <c r="E214">
        <v>6728.32</v>
      </c>
      <c r="F214">
        <v>5872.08</v>
      </c>
      <c r="G214">
        <v>55825</v>
      </c>
      <c r="H214">
        <v>2436</v>
      </c>
      <c r="I214">
        <v>144</v>
      </c>
      <c r="J214">
        <v>4043.13</v>
      </c>
      <c r="K214">
        <f t="shared" si="21"/>
        <v>4.363636363636364E-2</v>
      </c>
      <c r="L214">
        <f t="shared" si="22"/>
        <v>2.4105418719211822</v>
      </c>
      <c r="M214">
        <f t="shared" si="23"/>
        <v>40.778333333333336</v>
      </c>
      <c r="N214">
        <f t="shared" si="24"/>
        <v>0.68853455674990804</v>
      </c>
      <c r="O214">
        <f t="shared" si="25"/>
        <v>-1828.9499999999998</v>
      </c>
      <c r="P214">
        <f t="shared" si="26"/>
        <v>-45.235992906485812</v>
      </c>
      <c r="Q214" s="4" t="str">
        <f t="shared" si="27"/>
        <v>2025-04</v>
      </c>
    </row>
    <row r="215" spans="1:17" x14ac:dyDescent="0.3">
      <c r="A215" t="s">
        <v>223</v>
      </c>
      <c r="B215" s="2">
        <v>45658</v>
      </c>
      <c r="C215" t="s">
        <v>513</v>
      </c>
      <c r="D215" t="s">
        <v>517</v>
      </c>
      <c r="E215">
        <v>5640.99</v>
      </c>
      <c r="F215">
        <v>4546.76</v>
      </c>
      <c r="G215">
        <v>53730</v>
      </c>
      <c r="H215">
        <v>2251</v>
      </c>
      <c r="I215">
        <v>253</v>
      </c>
      <c r="J215">
        <v>7504.58</v>
      </c>
      <c r="K215">
        <f t="shared" si="21"/>
        <v>4.1894658477573052E-2</v>
      </c>
      <c r="L215">
        <f t="shared" si="22"/>
        <v>2.0198844957796536</v>
      </c>
      <c r="M215">
        <f t="shared" si="23"/>
        <v>17.971383399209486</v>
      </c>
      <c r="N215">
        <f t="shared" si="24"/>
        <v>1.6505335667596266</v>
      </c>
      <c r="O215">
        <f t="shared" si="25"/>
        <v>2957.8199999999997</v>
      </c>
      <c r="P215">
        <f t="shared" si="26"/>
        <v>39.413531470115579</v>
      </c>
      <c r="Q215" s="4" t="str">
        <f t="shared" si="27"/>
        <v>2025-01</v>
      </c>
    </row>
    <row r="216" spans="1:17" x14ac:dyDescent="0.3">
      <c r="A216" t="s">
        <v>224</v>
      </c>
      <c r="B216" s="2">
        <v>45636</v>
      </c>
      <c r="C216" t="s">
        <v>510</v>
      </c>
      <c r="D216" t="s">
        <v>515</v>
      </c>
      <c r="E216">
        <v>4480.1400000000003</v>
      </c>
      <c r="F216">
        <v>4024.28</v>
      </c>
      <c r="G216">
        <v>177951</v>
      </c>
      <c r="H216">
        <v>3898</v>
      </c>
      <c r="I216">
        <v>283</v>
      </c>
      <c r="J216">
        <v>6676.78</v>
      </c>
      <c r="K216">
        <f t="shared" si="21"/>
        <v>2.1904906406819854E-2</v>
      </c>
      <c r="L216">
        <f t="shared" si="22"/>
        <v>1.032396100564392</v>
      </c>
      <c r="M216">
        <f t="shared" si="23"/>
        <v>14.220070671378092</v>
      </c>
      <c r="N216">
        <f t="shared" si="24"/>
        <v>1.659124116612164</v>
      </c>
      <c r="O216">
        <f t="shared" si="25"/>
        <v>2652.4999999999995</v>
      </c>
      <c r="P216">
        <f t="shared" si="26"/>
        <v>39.727233786346105</v>
      </c>
      <c r="Q216" s="4" t="str">
        <f t="shared" si="27"/>
        <v>2024-12</v>
      </c>
    </row>
    <row r="217" spans="1:17" x14ac:dyDescent="0.3">
      <c r="A217" t="s">
        <v>225</v>
      </c>
      <c r="B217" s="2">
        <v>45771</v>
      </c>
      <c r="C217" t="s">
        <v>510</v>
      </c>
      <c r="D217" t="s">
        <v>515</v>
      </c>
      <c r="E217">
        <v>9233.69</v>
      </c>
      <c r="F217">
        <v>9031.27</v>
      </c>
      <c r="G217">
        <v>52910</v>
      </c>
      <c r="H217">
        <v>1772</v>
      </c>
      <c r="I217">
        <v>184</v>
      </c>
      <c r="J217">
        <v>7428.64</v>
      </c>
      <c r="K217">
        <f t="shared" si="21"/>
        <v>3.349083349083349E-2</v>
      </c>
      <c r="L217">
        <f t="shared" si="22"/>
        <v>5.0966534988713317</v>
      </c>
      <c r="M217">
        <f t="shared" si="23"/>
        <v>49.082989130434783</v>
      </c>
      <c r="N217">
        <f t="shared" si="24"/>
        <v>0.82254655214604366</v>
      </c>
      <c r="O217">
        <f t="shared" si="25"/>
        <v>-1602.63</v>
      </c>
      <c r="P217">
        <f t="shared" si="26"/>
        <v>-21.573666243080833</v>
      </c>
      <c r="Q217" s="4" t="str">
        <f t="shared" si="27"/>
        <v>2025-04</v>
      </c>
    </row>
    <row r="218" spans="1:17" x14ac:dyDescent="0.3">
      <c r="A218" t="s">
        <v>226</v>
      </c>
      <c r="B218" s="2">
        <v>45656</v>
      </c>
      <c r="C218" t="s">
        <v>514</v>
      </c>
      <c r="D218" t="s">
        <v>517</v>
      </c>
      <c r="E218">
        <v>8524.2000000000007</v>
      </c>
      <c r="F218">
        <v>8094.01</v>
      </c>
      <c r="G218">
        <v>57737</v>
      </c>
      <c r="H218">
        <v>1530</v>
      </c>
      <c r="I218">
        <v>286</v>
      </c>
      <c r="J218">
        <v>6465.78</v>
      </c>
      <c r="K218">
        <f t="shared" si="21"/>
        <v>2.6499471742556766E-2</v>
      </c>
      <c r="L218">
        <f t="shared" si="22"/>
        <v>5.2902026143790852</v>
      </c>
      <c r="M218">
        <f t="shared" si="23"/>
        <v>28.300734265734267</v>
      </c>
      <c r="N218">
        <f t="shared" si="24"/>
        <v>0.79883518799704967</v>
      </c>
      <c r="O218">
        <f t="shared" si="25"/>
        <v>-1628.2300000000005</v>
      </c>
      <c r="P218">
        <f t="shared" si="26"/>
        <v>-25.182267259325258</v>
      </c>
      <c r="Q218" s="4" t="str">
        <f t="shared" si="27"/>
        <v>2024-12</v>
      </c>
    </row>
    <row r="219" spans="1:17" x14ac:dyDescent="0.3">
      <c r="A219" t="s">
        <v>227</v>
      </c>
      <c r="B219" s="2">
        <v>45689</v>
      </c>
      <c r="C219" t="s">
        <v>512</v>
      </c>
      <c r="D219" t="s">
        <v>518</v>
      </c>
      <c r="E219">
        <v>6759.75</v>
      </c>
      <c r="F219">
        <v>6597.87</v>
      </c>
      <c r="G219">
        <v>167465</v>
      </c>
      <c r="H219">
        <v>5881</v>
      </c>
      <c r="I219">
        <v>966</v>
      </c>
      <c r="J219">
        <v>40922.839999999997</v>
      </c>
      <c r="K219">
        <f t="shared" si="21"/>
        <v>3.5117785805989309E-2</v>
      </c>
      <c r="L219">
        <f t="shared" si="22"/>
        <v>1.1218959360652949</v>
      </c>
      <c r="M219">
        <f t="shared" si="23"/>
        <v>6.8300931677018628</v>
      </c>
      <c r="N219">
        <f t="shared" si="24"/>
        <v>6.2024319969929689</v>
      </c>
      <c r="O219">
        <f t="shared" si="25"/>
        <v>34324.969999999994</v>
      </c>
      <c r="P219">
        <f t="shared" si="26"/>
        <v>83.877291996352156</v>
      </c>
      <c r="Q219" s="4" t="str">
        <f t="shared" si="27"/>
        <v>2025-02</v>
      </c>
    </row>
    <row r="220" spans="1:17" x14ac:dyDescent="0.3">
      <c r="A220" t="s">
        <v>228</v>
      </c>
      <c r="B220" s="2">
        <v>45727</v>
      </c>
      <c r="C220" t="s">
        <v>514</v>
      </c>
      <c r="D220" t="s">
        <v>515</v>
      </c>
      <c r="E220">
        <v>6021.62</v>
      </c>
      <c r="F220">
        <v>5047.7700000000004</v>
      </c>
      <c r="G220">
        <v>133310</v>
      </c>
      <c r="H220">
        <v>4783</v>
      </c>
      <c r="I220">
        <v>857</v>
      </c>
      <c r="J220">
        <v>24435.88</v>
      </c>
      <c r="K220">
        <f t="shared" si="21"/>
        <v>3.5878778786287598E-2</v>
      </c>
      <c r="L220">
        <f t="shared" si="22"/>
        <v>1.0553564708342045</v>
      </c>
      <c r="M220">
        <f t="shared" si="23"/>
        <v>5.8900466744457418</v>
      </c>
      <c r="N220">
        <f t="shared" si="24"/>
        <v>4.840925794955</v>
      </c>
      <c r="O220">
        <f t="shared" si="25"/>
        <v>19388.11</v>
      </c>
      <c r="P220">
        <f t="shared" si="26"/>
        <v>79.342794284470202</v>
      </c>
      <c r="Q220" s="4" t="str">
        <f t="shared" si="27"/>
        <v>2025-03</v>
      </c>
    </row>
    <row r="221" spans="1:17" x14ac:dyDescent="0.3">
      <c r="A221" t="s">
        <v>229</v>
      </c>
      <c r="B221" s="2">
        <v>45707</v>
      </c>
      <c r="C221" t="s">
        <v>514</v>
      </c>
      <c r="D221" t="s">
        <v>515</v>
      </c>
      <c r="E221">
        <v>5541.58</v>
      </c>
      <c r="F221">
        <v>5507.08</v>
      </c>
      <c r="G221">
        <v>113210</v>
      </c>
      <c r="H221">
        <v>1277</v>
      </c>
      <c r="I221">
        <v>208</v>
      </c>
      <c r="J221">
        <v>7721.66</v>
      </c>
      <c r="K221">
        <f t="shared" si="21"/>
        <v>1.1279922268350853E-2</v>
      </c>
      <c r="L221">
        <f t="shared" si="22"/>
        <v>4.3125137039937353</v>
      </c>
      <c r="M221">
        <f t="shared" si="23"/>
        <v>26.476346153846155</v>
      </c>
      <c r="N221">
        <f t="shared" si="24"/>
        <v>1.4021332539204079</v>
      </c>
      <c r="O221">
        <f t="shared" si="25"/>
        <v>2214.58</v>
      </c>
      <c r="P221">
        <f t="shared" si="26"/>
        <v>28.680102465014002</v>
      </c>
      <c r="Q221" s="4" t="str">
        <f t="shared" si="27"/>
        <v>2025-02</v>
      </c>
    </row>
    <row r="222" spans="1:17" x14ac:dyDescent="0.3">
      <c r="A222" t="s">
        <v>230</v>
      </c>
      <c r="B222" s="2">
        <v>45744</v>
      </c>
      <c r="C222" t="s">
        <v>513</v>
      </c>
      <c r="D222" t="s">
        <v>516</v>
      </c>
      <c r="E222">
        <v>5492.68</v>
      </c>
      <c r="F222">
        <v>6019.73</v>
      </c>
      <c r="G222">
        <v>186208</v>
      </c>
      <c r="H222">
        <v>1504</v>
      </c>
      <c r="I222">
        <v>92</v>
      </c>
      <c r="J222">
        <v>3511.94</v>
      </c>
      <c r="K222">
        <f t="shared" si="21"/>
        <v>8.0769891733974905E-3</v>
      </c>
      <c r="L222">
        <f t="shared" si="22"/>
        <v>4.0024800531914888</v>
      </c>
      <c r="M222">
        <f t="shared" si="23"/>
        <v>65.431847826086951</v>
      </c>
      <c r="N222">
        <f t="shared" si="24"/>
        <v>0.58340490354218555</v>
      </c>
      <c r="O222">
        <f t="shared" si="25"/>
        <v>-2507.7899999999995</v>
      </c>
      <c r="P222">
        <f t="shared" si="26"/>
        <v>-71.407541131112708</v>
      </c>
      <c r="Q222" s="4" t="str">
        <f t="shared" si="27"/>
        <v>2025-03</v>
      </c>
    </row>
    <row r="223" spans="1:17" x14ac:dyDescent="0.3">
      <c r="A223" t="s">
        <v>231</v>
      </c>
      <c r="B223" s="2">
        <v>45790</v>
      </c>
      <c r="C223" t="s">
        <v>514</v>
      </c>
      <c r="D223" t="s">
        <v>516</v>
      </c>
      <c r="E223">
        <v>4660.59</v>
      </c>
      <c r="F223">
        <v>3870.78</v>
      </c>
      <c r="G223">
        <v>197176</v>
      </c>
      <c r="H223">
        <v>7746</v>
      </c>
      <c r="I223">
        <v>512</v>
      </c>
      <c r="J223">
        <v>12587.92</v>
      </c>
      <c r="K223">
        <f t="shared" si="21"/>
        <v>3.9284699963484403E-2</v>
      </c>
      <c r="L223">
        <f t="shared" si="22"/>
        <v>0.49971340046475604</v>
      </c>
      <c r="M223">
        <f t="shared" si="23"/>
        <v>7.5601171875000004</v>
      </c>
      <c r="N223">
        <f t="shared" si="24"/>
        <v>3.2520370571306039</v>
      </c>
      <c r="O223">
        <f t="shared" si="25"/>
        <v>8717.14</v>
      </c>
      <c r="P223">
        <f t="shared" si="26"/>
        <v>69.250042898270721</v>
      </c>
      <c r="Q223" s="4" t="str">
        <f t="shared" si="27"/>
        <v>2025-05</v>
      </c>
    </row>
    <row r="224" spans="1:17" x14ac:dyDescent="0.3">
      <c r="A224" t="s">
        <v>232</v>
      </c>
      <c r="B224" s="2">
        <v>45675</v>
      </c>
      <c r="C224" t="s">
        <v>514</v>
      </c>
      <c r="D224" t="s">
        <v>515</v>
      </c>
      <c r="E224">
        <v>4721.7</v>
      </c>
      <c r="F224">
        <v>4004.97</v>
      </c>
      <c r="G224">
        <v>138708</v>
      </c>
      <c r="H224">
        <v>3409</v>
      </c>
      <c r="I224">
        <v>272</v>
      </c>
      <c r="J224">
        <v>6962.39</v>
      </c>
      <c r="K224">
        <f t="shared" si="21"/>
        <v>2.4576808835827781E-2</v>
      </c>
      <c r="L224">
        <f t="shared" si="22"/>
        <v>1.1748225286007625</v>
      </c>
      <c r="M224">
        <f t="shared" si="23"/>
        <v>14.724154411764705</v>
      </c>
      <c r="N224">
        <f t="shared" si="24"/>
        <v>1.7384374914169147</v>
      </c>
      <c r="O224">
        <f t="shared" si="25"/>
        <v>2957.4200000000005</v>
      </c>
      <c r="P224">
        <f t="shared" si="26"/>
        <v>42.477080427841599</v>
      </c>
      <c r="Q224" s="4" t="str">
        <f t="shared" si="27"/>
        <v>2025-01</v>
      </c>
    </row>
    <row r="225" spans="1:17" x14ac:dyDescent="0.3">
      <c r="A225" t="s">
        <v>233</v>
      </c>
      <c r="B225" s="2">
        <v>45751</v>
      </c>
      <c r="C225" t="s">
        <v>511</v>
      </c>
      <c r="D225" t="s">
        <v>516</v>
      </c>
      <c r="E225">
        <v>4995.67</v>
      </c>
      <c r="F225">
        <v>4256.37</v>
      </c>
      <c r="G225">
        <v>198805</v>
      </c>
      <c r="H225">
        <v>7934</v>
      </c>
      <c r="I225">
        <v>818</v>
      </c>
      <c r="J225">
        <v>38366.620000000003</v>
      </c>
      <c r="K225">
        <f t="shared" si="21"/>
        <v>3.9908453006715125E-2</v>
      </c>
      <c r="L225">
        <f t="shared" si="22"/>
        <v>0.53647214519788256</v>
      </c>
      <c r="M225">
        <f t="shared" si="23"/>
        <v>5.2033863080684597</v>
      </c>
      <c r="N225">
        <f t="shared" si="24"/>
        <v>9.0139297100581022</v>
      </c>
      <c r="O225">
        <f t="shared" si="25"/>
        <v>34110.25</v>
      </c>
      <c r="P225">
        <f t="shared" si="26"/>
        <v>88.906059486084516</v>
      </c>
      <c r="Q225" s="4" t="str">
        <f t="shared" si="27"/>
        <v>2025-04</v>
      </c>
    </row>
    <row r="226" spans="1:17" x14ac:dyDescent="0.3">
      <c r="A226" t="s">
        <v>234</v>
      </c>
      <c r="B226" s="2">
        <v>45806</v>
      </c>
      <c r="C226" t="s">
        <v>510</v>
      </c>
      <c r="D226" t="s">
        <v>518</v>
      </c>
      <c r="E226">
        <v>3561.64</v>
      </c>
      <c r="F226">
        <v>3409.75</v>
      </c>
      <c r="G226">
        <v>89656</v>
      </c>
      <c r="H226">
        <v>1499</v>
      </c>
      <c r="I226">
        <v>94</v>
      </c>
      <c r="J226">
        <v>3037.32</v>
      </c>
      <c r="K226">
        <f t="shared" si="21"/>
        <v>1.6719461051128759E-2</v>
      </c>
      <c r="L226">
        <f t="shared" si="22"/>
        <v>2.2746831220813877</v>
      </c>
      <c r="M226">
        <f t="shared" si="23"/>
        <v>36.273936170212764</v>
      </c>
      <c r="N226">
        <f t="shared" si="24"/>
        <v>0.8907749835031894</v>
      </c>
      <c r="O226">
        <f t="shared" si="25"/>
        <v>-372.42999999999984</v>
      </c>
      <c r="P226">
        <f t="shared" si="26"/>
        <v>-12.261796583830476</v>
      </c>
      <c r="Q226" s="4" t="str">
        <f t="shared" si="27"/>
        <v>2025-05</v>
      </c>
    </row>
    <row r="227" spans="1:17" x14ac:dyDescent="0.3">
      <c r="A227" t="s">
        <v>235</v>
      </c>
      <c r="B227" s="2">
        <v>45643</v>
      </c>
      <c r="C227" t="s">
        <v>512</v>
      </c>
      <c r="D227" t="s">
        <v>518</v>
      </c>
      <c r="E227">
        <v>9876.65</v>
      </c>
      <c r="F227">
        <v>8233.2900000000009</v>
      </c>
      <c r="G227">
        <v>99291</v>
      </c>
      <c r="H227">
        <v>1323</v>
      </c>
      <c r="I227">
        <v>252</v>
      </c>
      <c r="J227">
        <v>8047.79</v>
      </c>
      <c r="K227">
        <f t="shared" si="21"/>
        <v>1.3324470495815331E-2</v>
      </c>
      <c r="L227">
        <f t="shared" si="22"/>
        <v>6.2231972789115657</v>
      </c>
      <c r="M227">
        <f t="shared" si="23"/>
        <v>32.671785714285718</v>
      </c>
      <c r="N227">
        <f t="shared" si="24"/>
        <v>0.97746951704604101</v>
      </c>
      <c r="O227">
        <f t="shared" si="25"/>
        <v>-185.50000000000091</v>
      </c>
      <c r="P227">
        <f t="shared" si="26"/>
        <v>-2.3049806220092837</v>
      </c>
      <c r="Q227" s="4" t="str">
        <f t="shared" si="27"/>
        <v>2024-12</v>
      </c>
    </row>
    <row r="228" spans="1:17" x14ac:dyDescent="0.3">
      <c r="A228" t="s">
        <v>236</v>
      </c>
      <c r="B228" s="2">
        <v>45709</v>
      </c>
      <c r="C228" t="s">
        <v>513</v>
      </c>
      <c r="D228" t="s">
        <v>517</v>
      </c>
      <c r="E228">
        <v>9786.2900000000009</v>
      </c>
      <c r="F228">
        <v>10370.06</v>
      </c>
      <c r="G228">
        <v>111502</v>
      </c>
      <c r="H228">
        <v>5082</v>
      </c>
      <c r="I228">
        <v>149</v>
      </c>
      <c r="J228">
        <v>6632.31</v>
      </c>
      <c r="K228">
        <f t="shared" si="21"/>
        <v>4.5577657799860095E-2</v>
      </c>
      <c r="L228">
        <f t="shared" si="22"/>
        <v>2.040547028728847</v>
      </c>
      <c r="M228">
        <f t="shared" si="23"/>
        <v>69.597718120805368</v>
      </c>
      <c r="N228">
        <f t="shared" si="24"/>
        <v>0.63956331978792802</v>
      </c>
      <c r="O228">
        <f t="shared" si="25"/>
        <v>-3737.7499999999991</v>
      </c>
      <c r="P228">
        <f t="shared" si="26"/>
        <v>-56.35668417187977</v>
      </c>
      <c r="Q228" s="4" t="str">
        <f t="shared" si="27"/>
        <v>2025-02</v>
      </c>
    </row>
    <row r="229" spans="1:17" x14ac:dyDescent="0.3">
      <c r="A229" t="s">
        <v>237</v>
      </c>
      <c r="B229" s="2">
        <v>45703</v>
      </c>
      <c r="C229" t="s">
        <v>513</v>
      </c>
      <c r="D229" t="s">
        <v>515</v>
      </c>
      <c r="E229">
        <v>4805.32</v>
      </c>
      <c r="F229">
        <v>4090.61</v>
      </c>
      <c r="G229">
        <v>85109</v>
      </c>
      <c r="H229">
        <v>1336</v>
      </c>
      <c r="I229">
        <v>153</v>
      </c>
      <c r="J229">
        <v>6129.07</v>
      </c>
      <c r="K229">
        <f t="shared" si="21"/>
        <v>1.5697517301342983E-2</v>
      </c>
      <c r="L229">
        <f t="shared" si="22"/>
        <v>3.0618338323353296</v>
      </c>
      <c r="M229">
        <f t="shared" si="23"/>
        <v>26.736013071895425</v>
      </c>
      <c r="N229">
        <f t="shared" si="24"/>
        <v>1.4983266554376975</v>
      </c>
      <c r="O229">
        <f t="shared" si="25"/>
        <v>2038.4599999999996</v>
      </c>
      <c r="P229">
        <f t="shared" si="26"/>
        <v>33.258879405847864</v>
      </c>
      <c r="Q229" s="4" t="str">
        <f t="shared" si="27"/>
        <v>2025-02</v>
      </c>
    </row>
    <row r="230" spans="1:17" x14ac:dyDescent="0.3">
      <c r="A230" t="s">
        <v>238</v>
      </c>
      <c r="B230" s="2">
        <v>45645</v>
      </c>
      <c r="C230" t="s">
        <v>510</v>
      </c>
      <c r="D230" t="s">
        <v>515</v>
      </c>
      <c r="E230">
        <v>9505.6299999999992</v>
      </c>
      <c r="F230">
        <v>9192.2199999999993</v>
      </c>
      <c r="G230">
        <v>92367</v>
      </c>
      <c r="H230">
        <v>1602</v>
      </c>
      <c r="I230">
        <v>166</v>
      </c>
      <c r="J230">
        <v>6166.63</v>
      </c>
      <c r="K230">
        <f t="shared" si="21"/>
        <v>1.7343856572152393E-2</v>
      </c>
      <c r="L230">
        <f t="shared" si="22"/>
        <v>5.7379650436953806</v>
      </c>
      <c r="M230">
        <f t="shared" si="23"/>
        <v>55.374819277108429</v>
      </c>
      <c r="N230">
        <f t="shared" si="24"/>
        <v>0.67085317801358113</v>
      </c>
      <c r="O230">
        <f t="shared" si="25"/>
        <v>-3025.5899999999992</v>
      </c>
      <c r="P230">
        <f t="shared" si="26"/>
        <v>-49.063913352998298</v>
      </c>
      <c r="Q230" s="4" t="str">
        <f t="shared" si="27"/>
        <v>2024-12</v>
      </c>
    </row>
    <row r="231" spans="1:17" x14ac:dyDescent="0.3">
      <c r="A231" t="s">
        <v>239</v>
      </c>
      <c r="B231" s="2">
        <v>45792</v>
      </c>
      <c r="C231" t="s">
        <v>512</v>
      </c>
      <c r="D231" t="s">
        <v>516</v>
      </c>
      <c r="E231">
        <v>4959.8500000000004</v>
      </c>
      <c r="F231">
        <v>5112.8500000000004</v>
      </c>
      <c r="G231">
        <v>149385</v>
      </c>
      <c r="H231">
        <v>1524</v>
      </c>
      <c r="I231">
        <v>60</v>
      </c>
      <c r="J231">
        <v>1536.68</v>
      </c>
      <c r="K231">
        <f t="shared" si="21"/>
        <v>1.0201827492720153E-2</v>
      </c>
      <c r="L231">
        <f t="shared" si="22"/>
        <v>3.35488845144357</v>
      </c>
      <c r="M231">
        <f t="shared" si="23"/>
        <v>85.214166666666671</v>
      </c>
      <c r="N231">
        <f t="shared" si="24"/>
        <v>0.30055252941118943</v>
      </c>
      <c r="O231">
        <f t="shared" si="25"/>
        <v>-3576.17</v>
      </c>
      <c r="P231">
        <f t="shared" si="26"/>
        <v>-232.7205403857667</v>
      </c>
      <c r="Q231" s="4" t="str">
        <f t="shared" si="27"/>
        <v>2025-05</v>
      </c>
    </row>
    <row r="232" spans="1:17" x14ac:dyDescent="0.3">
      <c r="A232" t="s">
        <v>240</v>
      </c>
      <c r="B232" s="2">
        <v>45774</v>
      </c>
      <c r="C232" t="s">
        <v>512</v>
      </c>
      <c r="D232" t="s">
        <v>517</v>
      </c>
      <c r="E232">
        <v>5265.75</v>
      </c>
      <c r="F232">
        <v>4884.67</v>
      </c>
      <c r="G232">
        <v>134522</v>
      </c>
      <c r="H232">
        <v>2228</v>
      </c>
      <c r="I232">
        <v>403</v>
      </c>
      <c r="J232">
        <v>14197.01</v>
      </c>
      <c r="K232">
        <f t="shared" si="21"/>
        <v>1.6562346679353562E-2</v>
      </c>
      <c r="L232">
        <f t="shared" si="22"/>
        <v>2.1924012567324955</v>
      </c>
      <c r="M232">
        <f t="shared" si="23"/>
        <v>12.120769230769231</v>
      </c>
      <c r="N232">
        <f t="shared" si="24"/>
        <v>2.9064419909635655</v>
      </c>
      <c r="O232">
        <f t="shared" si="25"/>
        <v>9312.34</v>
      </c>
      <c r="P232">
        <f t="shared" si="26"/>
        <v>65.59367077997409</v>
      </c>
      <c r="Q232" s="4" t="str">
        <f t="shared" si="27"/>
        <v>2025-04</v>
      </c>
    </row>
    <row r="233" spans="1:17" x14ac:dyDescent="0.3">
      <c r="A233" t="s">
        <v>241</v>
      </c>
      <c r="B233" s="2">
        <v>45734</v>
      </c>
      <c r="C233" t="s">
        <v>510</v>
      </c>
      <c r="D233" t="s">
        <v>518</v>
      </c>
      <c r="E233">
        <v>4696.87</v>
      </c>
      <c r="F233">
        <v>3919.31</v>
      </c>
      <c r="G233">
        <v>178747</v>
      </c>
      <c r="H233">
        <v>7649</v>
      </c>
      <c r="I233">
        <v>235</v>
      </c>
      <c r="J233">
        <v>9004.8700000000008</v>
      </c>
      <c r="K233">
        <f t="shared" si="21"/>
        <v>4.2792326584502119E-2</v>
      </c>
      <c r="L233">
        <f t="shared" si="22"/>
        <v>0.51239508432474834</v>
      </c>
      <c r="M233">
        <f t="shared" si="23"/>
        <v>16.677914893617022</v>
      </c>
      <c r="N233">
        <f t="shared" si="24"/>
        <v>2.2975651326381432</v>
      </c>
      <c r="O233">
        <f t="shared" si="25"/>
        <v>5085.5600000000013</v>
      </c>
      <c r="P233">
        <f t="shared" si="26"/>
        <v>56.475662613674615</v>
      </c>
      <c r="Q233" s="4" t="str">
        <f t="shared" si="27"/>
        <v>2025-03</v>
      </c>
    </row>
    <row r="234" spans="1:17" x14ac:dyDescent="0.3">
      <c r="A234" t="s">
        <v>242</v>
      </c>
      <c r="B234" s="2">
        <v>45796</v>
      </c>
      <c r="C234" t="s">
        <v>513</v>
      </c>
      <c r="D234" t="s">
        <v>516</v>
      </c>
      <c r="E234">
        <v>5020.41</v>
      </c>
      <c r="F234">
        <v>4891.74</v>
      </c>
      <c r="G234">
        <v>73811</v>
      </c>
      <c r="H234">
        <v>3452</v>
      </c>
      <c r="I234">
        <v>224</v>
      </c>
      <c r="J234">
        <v>5517.32</v>
      </c>
      <c r="K234">
        <f t="shared" si="21"/>
        <v>4.6768096896126592E-2</v>
      </c>
      <c r="L234">
        <f t="shared" si="22"/>
        <v>1.4170741599073</v>
      </c>
      <c r="M234">
        <f t="shared" si="23"/>
        <v>21.838124999999998</v>
      </c>
      <c r="N234">
        <f t="shared" si="24"/>
        <v>1.1278849652679823</v>
      </c>
      <c r="O234">
        <f t="shared" si="25"/>
        <v>625.57999999999993</v>
      </c>
      <c r="P234">
        <f t="shared" si="26"/>
        <v>11.338475926718043</v>
      </c>
      <c r="Q234" s="4" t="str">
        <f t="shared" si="27"/>
        <v>2025-05</v>
      </c>
    </row>
    <row r="235" spans="1:17" x14ac:dyDescent="0.3">
      <c r="A235" t="s">
        <v>243</v>
      </c>
      <c r="B235" s="2">
        <v>45771</v>
      </c>
      <c r="C235" t="s">
        <v>510</v>
      </c>
      <c r="D235" t="s">
        <v>518</v>
      </c>
      <c r="E235">
        <v>6367.98</v>
      </c>
      <c r="F235">
        <v>6111.84</v>
      </c>
      <c r="G235">
        <v>61124</v>
      </c>
      <c r="H235">
        <v>2912</v>
      </c>
      <c r="I235">
        <v>312</v>
      </c>
      <c r="J235">
        <v>6725.07</v>
      </c>
      <c r="K235">
        <f t="shared" si="21"/>
        <v>4.7640861200183231E-2</v>
      </c>
      <c r="L235">
        <f t="shared" si="22"/>
        <v>2.098846153846154</v>
      </c>
      <c r="M235">
        <f t="shared" si="23"/>
        <v>19.58923076923077</v>
      </c>
      <c r="N235">
        <f t="shared" si="24"/>
        <v>1.1003347600722531</v>
      </c>
      <c r="O235">
        <f t="shared" si="25"/>
        <v>613.22999999999956</v>
      </c>
      <c r="P235">
        <f t="shared" si="26"/>
        <v>9.1185667955872525</v>
      </c>
      <c r="Q235" s="4" t="str">
        <f t="shared" si="27"/>
        <v>2025-04</v>
      </c>
    </row>
    <row r="236" spans="1:17" x14ac:dyDescent="0.3">
      <c r="A236" t="s">
        <v>244</v>
      </c>
      <c r="B236" s="2">
        <v>45749</v>
      </c>
      <c r="C236" t="s">
        <v>514</v>
      </c>
      <c r="D236" t="s">
        <v>515</v>
      </c>
      <c r="E236">
        <v>5356.23</v>
      </c>
      <c r="F236">
        <v>4500.97</v>
      </c>
      <c r="G236">
        <v>65992</v>
      </c>
      <c r="H236">
        <v>3184</v>
      </c>
      <c r="I236">
        <v>311</v>
      </c>
      <c r="J236">
        <v>6811.29</v>
      </c>
      <c r="K236">
        <f t="shared" si="21"/>
        <v>4.8248272517880955E-2</v>
      </c>
      <c r="L236">
        <f t="shared" si="22"/>
        <v>1.413621231155779</v>
      </c>
      <c r="M236">
        <f t="shared" si="23"/>
        <v>14.472572347266881</v>
      </c>
      <c r="N236">
        <f t="shared" si="24"/>
        <v>1.513293801113982</v>
      </c>
      <c r="O236">
        <f t="shared" si="25"/>
        <v>2310.3199999999997</v>
      </c>
      <c r="P236">
        <f t="shared" si="26"/>
        <v>33.918978636939542</v>
      </c>
      <c r="Q236" s="4" t="str">
        <f t="shared" si="27"/>
        <v>2025-04</v>
      </c>
    </row>
    <row r="237" spans="1:17" x14ac:dyDescent="0.3">
      <c r="A237" t="s">
        <v>245</v>
      </c>
      <c r="B237" s="2">
        <v>45702</v>
      </c>
      <c r="C237" t="s">
        <v>512</v>
      </c>
      <c r="D237" t="s">
        <v>517</v>
      </c>
      <c r="E237">
        <v>9929.7199999999993</v>
      </c>
      <c r="F237">
        <v>8904.0400000000009</v>
      </c>
      <c r="G237">
        <v>80479</v>
      </c>
      <c r="H237">
        <v>3812</v>
      </c>
      <c r="I237">
        <v>427</v>
      </c>
      <c r="J237">
        <v>18914.490000000002</v>
      </c>
      <c r="K237">
        <f t="shared" si="21"/>
        <v>4.7366393717615779E-2</v>
      </c>
      <c r="L237">
        <f t="shared" si="22"/>
        <v>2.3357922350472196</v>
      </c>
      <c r="M237">
        <f t="shared" si="23"/>
        <v>20.852552693208434</v>
      </c>
      <c r="N237">
        <f t="shared" si="24"/>
        <v>2.1242593249805708</v>
      </c>
      <c r="O237">
        <f t="shared" si="25"/>
        <v>10010.450000000001</v>
      </c>
      <c r="P237">
        <f t="shared" si="26"/>
        <v>52.92476825967816</v>
      </c>
      <c r="Q237" s="4" t="str">
        <f t="shared" si="27"/>
        <v>2025-02</v>
      </c>
    </row>
    <row r="238" spans="1:17" x14ac:dyDescent="0.3">
      <c r="A238" t="s">
        <v>246</v>
      </c>
      <c r="B238" s="2">
        <v>45733</v>
      </c>
      <c r="C238" t="s">
        <v>514</v>
      </c>
      <c r="D238" t="s">
        <v>517</v>
      </c>
      <c r="E238">
        <v>4782.4799999999996</v>
      </c>
      <c r="F238">
        <v>4803.7700000000004</v>
      </c>
      <c r="G238">
        <v>65167</v>
      </c>
      <c r="H238">
        <v>3118</v>
      </c>
      <c r="I238">
        <v>343</v>
      </c>
      <c r="J238">
        <v>14682.74</v>
      </c>
      <c r="K238">
        <f t="shared" si="21"/>
        <v>4.784630257645741E-2</v>
      </c>
      <c r="L238">
        <f t="shared" si="22"/>
        <v>1.5406574727389353</v>
      </c>
      <c r="M238">
        <f t="shared" si="23"/>
        <v>14.005160349854229</v>
      </c>
      <c r="N238">
        <f t="shared" si="24"/>
        <v>3.0565035378463161</v>
      </c>
      <c r="O238">
        <f t="shared" si="25"/>
        <v>9878.9699999999993</v>
      </c>
      <c r="P238">
        <f t="shared" si="26"/>
        <v>67.282877719008852</v>
      </c>
      <c r="Q238" s="4" t="str">
        <f t="shared" si="27"/>
        <v>2025-03</v>
      </c>
    </row>
    <row r="239" spans="1:17" x14ac:dyDescent="0.3">
      <c r="A239" t="s">
        <v>247</v>
      </c>
      <c r="B239" s="2">
        <v>45680</v>
      </c>
      <c r="C239" t="s">
        <v>512</v>
      </c>
      <c r="D239" t="s">
        <v>517</v>
      </c>
      <c r="E239">
        <v>7169.47</v>
      </c>
      <c r="F239">
        <v>6749.86</v>
      </c>
      <c r="G239">
        <v>109928</v>
      </c>
      <c r="H239">
        <v>2600</v>
      </c>
      <c r="I239">
        <v>192</v>
      </c>
      <c r="J239">
        <v>6212.2</v>
      </c>
      <c r="K239">
        <f t="shared" si="21"/>
        <v>2.3651844843897825E-2</v>
      </c>
      <c r="L239">
        <f t="shared" si="22"/>
        <v>2.5960999999999999</v>
      </c>
      <c r="M239">
        <f t="shared" si="23"/>
        <v>35.155520833333334</v>
      </c>
      <c r="N239">
        <f t="shared" si="24"/>
        <v>0.92034501456326501</v>
      </c>
      <c r="O239">
        <f t="shared" si="25"/>
        <v>-537.65999999999985</v>
      </c>
      <c r="P239">
        <f t="shared" si="26"/>
        <v>-8.6549048646212263</v>
      </c>
      <c r="Q239" s="4" t="str">
        <f t="shared" si="27"/>
        <v>2025-01</v>
      </c>
    </row>
    <row r="240" spans="1:17" x14ac:dyDescent="0.3">
      <c r="A240" t="s">
        <v>248</v>
      </c>
      <c r="B240" s="2">
        <v>45730</v>
      </c>
      <c r="C240" t="s">
        <v>514</v>
      </c>
      <c r="D240" t="s">
        <v>516</v>
      </c>
      <c r="E240">
        <v>5442.08</v>
      </c>
      <c r="F240">
        <v>5871.24</v>
      </c>
      <c r="G240">
        <v>155287</v>
      </c>
      <c r="H240">
        <v>6156</v>
      </c>
      <c r="I240">
        <v>885</v>
      </c>
      <c r="J240">
        <v>39752.949999999997</v>
      </c>
      <c r="K240">
        <f t="shared" si="21"/>
        <v>3.9642726049186346E-2</v>
      </c>
      <c r="L240">
        <f t="shared" si="22"/>
        <v>0.95374269005847945</v>
      </c>
      <c r="M240">
        <f t="shared" si="23"/>
        <v>6.6341694915254239</v>
      </c>
      <c r="N240">
        <f t="shared" si="24"/>
        <v>6.7707928819125085</v>
      </c>
      <c r="O240">
        <f t="shared" si="25"/>
        <v>33881.71</v>
      </c>
      <c r="P240">
        <f t="shared" si="26"/>
        <v>85.230680993486018</v>
      </c>
      <c r="Q240" s="4" t="str">
        <f t="shared" si="27"/>
        <v>2025-03</v>
      </c>
    </row>
    <row r="241" spans="1:17" x14ac:dyDescent="0.3">
      <c r="A241" t="s">
        <v>249</v>
      </c>
      <c r="B241" s="2">
        <v>45763</v>
      </c>
      <c r="C241" t="s">
        <v>514</v>
      </c>
      <c r="D241" t="s">
        <v>517</v>
      </c>
      <c r="E241">
        <v>9755.19</v>
      </c>
      <c r="F241">
        <v>8167.91</v>
      </c>
      <c r="G241">
        <v>78740</v>
      </c>
      <c r="H241">
        <v>2383</v>
      </c>
      <c r="I241">
        <v>340</v>
      </c>
      <c r="J241">
        <v>14254.85</v>
      </c>
      <c r="K241">
        <f t="shared" si="21"/>
        <v>3.0264160528321055E-2</v>
      </c>
      <c r="L241">
        <f t="shared" si="22"/>
        <v>3.4275744859420896</v>
      </c>
      <c r="M241">
        <f t="shared" si="23"/>
        <v>24.023264705882351</v>
      </c>
      <c r="N241">
        <f t="shared" si="24"/>
        <v>1.7452261349598612</v>
      </c>
      <c r="O241">
        <f t="shared" si="25"/>
        <v>6086.9400000000005</v>
      </c>
      <c r="P241">
        <f t="shared" si="26"/>
        <v>42.700835154350983</v>
      </c>
      <c r="Q241" s="4" t="str">
        <f t="shared" si="27"/>
        <v>2025-04</v>
      </c>
    </row>
    <row r="242" spans="1:17" x14ac:dyDescent="0.3">
      <c r="A242" t="s">
        <v>250</v>
      </c>
      <c r="B242" s="2">
        <v>45677</v>
      </c>
      <c r="C242" t="s">
        <v>514</v>
      </c>
      <c r="D242" t="s">
        <v>518</v>
      </c>
      <c r="E242">
        <v>9568.3799999999992</v>
      </c>
      <c r="F242">
        <v>8174.94</v>
      </c>
      <c r="G242">
        <v>158786</v>
      </c>
      <c r="H242">
        <v>2402</v>
      </c>
      <c r="I242">
        <v>240</v>
      </c>
      <c r="J242">
        <v>5278.77</v>
      </c>
      <c r="K242">
        <f t="shared" si="21"/>
        <v>1.5127278223520965E-2</v>
      </c>
      <c r="L242">
        <f t="shared" si="22"/>
        <v>3.4033888426311405</v>
      </c>
      <c r="M242">
        <f t="shared" si="23"/>
        <v>34.062249999999999</v>
      </c>
      <c r="N242">
        <f t="shared" si="24"/>
        <v>0.64572584018965284</v>
      </c>
      <c r="O242">
        <f t="shared" si="25"/>
        <v>-2896.1699999999992</v>
      </c>
      <c r="P242">
        <f t="shared" si="26"/>
        <v>-54.864485476730351</v>
      </c>
      <c r="Q242" s="4" t="str">
        <f t="shared" si="27"/>
        <v>2025-01</v>
      </c>
    </row>
    <row r="243" spans="1:17" x14ac:dyDescent="0.3">
      <c r="A243" t="s">
        <v>251</v>
      </c>
      <c r="B243" s="2">
        <v>45799</v>
      </c>
      <c r="C243" t="s">
        <v>512</v>
      </c>
      <c r="D243" t="s">
        <v>516</v>
      </c>
      <c r="E243">
        <v>8187.84</v>
      </c>
      <c r="F243">
        <v>7961.38</v>
      </c>
      <c r="G243">
        <v>158182</v>
      </c>
      <c r="H243">
        <v>3562</v>
      </c>
      <c r="I243">
        <v>554</v>
      </c>
      <c r="J243">
        <v>25071.19</v>
      </c>
      <c r="K243">
        <f t="shared" si="21"/>
        <v>2.2518364921419631E-2</v>
      </c>
      <c r="L243">
        <f t="shared" si="22"/>
        <v>2.2350870297585628</v>
      </c>
      <c r="M243">
        <f t="shared" si="23"/>
        <v>14.370722021660651</v>
      </c>
      <c r="N243">
        <f t="shared" si="24"/>
        <v>3.1491010352476581</v>
      </c>
      <c r="O243">
        <f t="shared" si="25"/>
        <v>17109.809999999998</v>
      </c>
      <c r="P243">
        <f t="shared" si="26"/>
        <v>68.244905806226186</v>
      </c>
      <c r="Q243" s="4" t="str">
        <f t="shared" si="27"/>
        <v>2025-05</v>
      </c>
    </row>
    <row r="244" spans="1:17" x14ac:dyDescent="0.3">
      <c r="A244" t="s">
        <v>252</v>
      </c>
      <c r="B244" s="2">
        <v>45691</v>
      </c>
      <c r="C244" t="s">
        <v>513</v>
      </c>
      <c r="D244" t="s">
        <v>516</v>
      </c>
      <c r="E244">
        <v>3978.41</v>
      </c>
      <c r="F244">
        <v>4131.8999999999996</v>
      </c>
      <c r="G244">
        <v>70430</v>
      </c>
      <c r="H244">
        <v>2036</v>
      </c>
      <c r="I244">
        <v>76</v>
      </c>
      <c r="J244">
        <v>1979.71</v>
      </c>
      <c r="K244">
        <f t="shared" si="21"/>
        <v>2.8908135737611813E-2</v>
      </c>
      <c r="L244">
        <f t="shared" si="22"/>
        <v>2.0294204322200393</v>
      </c>
      <c r="M244">
        <f t="shared" si="23"/>
        <v>54.367105263157889</v>
      </c>
      <c r="N244">
        <f t="shared" si="24"/>
        <v>0.47912824608533611</v>
      </c>
      <c r="O244">
        <f t="shared" si="25"/>
        <v>-2152.1899999999996</v>
      </c>
      <c r="P244">
        <f t="shared" si="26"/>
        <v>-108.71238716781748</v>
      </c>
      <c r="Q244" s="4" t="str">
        <f t="shared" si="27"/>
        <v>2025-02</v>
      </c>
    </row>
    <row r="245" spans="1:17" x14ac:dyDescent="0.3">
      <c r="A245" t="s">
        <v>253</v>
      </c>
      <c r="B245" s="2">
        <v>45739</v>
      </c>
      <c r="C245" t="s">
        <v>511</v>
      </c>
      <c r="D245" t="s">
        <v>516</v>
      </c>
      <c r="E245">
        <v>4145.59</v>
      </c>
      <c r="F245">
        <v>3520.77</v>
      </c>
      <c r="G245">
        <v>53472</v>
      </c>
      <c r="H245">
        <v>1779</v>
      </c>
      <c r="I245">
        <v>127</v>
      </c>
      <c r="J245">
        <v>5643.53</v>
      </c>
      <c r="K245">
        <f t="shared" si="21"/>
        <v>3.3269748653500901E-2</v>
      </c>
      <c r="L245">
        <f t="shared" si="22"/>
        <v>1.9790725126475548</v>
      </c>
      <c r="M245">
        <f t="shared" si="23"/>
        <v>27.72259842519685</v>
      </c>
      <c r="N245">
        <f t="shared" si="24"/>
        <v>1.6029249283537408</v>
      </c>
      <c r="O245">
        <f t="shared" si="25"/>
        <v>2122.7599999999998</v>
      </c>
      <c r="P245">
        <f t="shared" si="26"/>
        <v>37.61404652761658</v>
      </c>
      <c r="Q245" s="4" t="str">
        <f t="shared" si="27"/>
        <v>2025-03</v>
      </c>
    </row>
    <row r="246" spans="1:17" x14ac:dyDescent="0.3">
      <c r="A246" t="s">
        <v>254</v>
      </c>
      <c r="B246" s="2">
        <v>45769</v>
      </c>
      <c r="C246" t="s">
        <v>510</v>
      </c>
      <c r="D246" t="s">
        <v>517</v>
      </c>
      <c r="E246">
        <v>7656.38</v>
      </c>
      <c r="F246">
        <v>7326.54</v>
      </c>
      <c r="G246">
        <v>65231</v>
      </c>
      <c r="H246">
        <v>2231</v>
      </c>
      <c r="I246">
        <v>352</v>
      </c>
      <c r="J246">
        <v>10829.25</v>
      </c>
      <c r="K246">
        <f t="shared" si="21"/>
        <v>3.4201529947417639E-2</v>
      </c>
      <c r="L246">
        <f t="shared" si="22"/>
        <v>3.2839713133124158</v>
      </c>
      <c r="M246">
        <f t="shared" si="23"/>
        <v>20.81403409090909</v>
      </c>
      <c r="N246">
        <f t="shared" si="24"/>
        <v>1.4780851534284942</v>
      </c>
      <c r="O246">
        <f t="shared" si="25"/>
        <v>3502.71</v>
      </c>
      <c r="P246">
        <f t="shared" si="26"/>
        <v>32.344899231248704</v>
      </c>
      <c r="Q246" s="4" t="str">
        <f t="shared" si="27"/>
        <v>2025-04</v>
      </c>
    </row>
    <row r="247" spans="1:17" x14ac:dyDescent="0.3">
      <c r="A247" t="s">
        <v>255</v>
      </c>
      <c r="B247" s="2">
        <v>45701</v>
      </c>
      <c r="C247" t="s">
        <v>510</v>
      </c>
      <c r="D247" t="s">
        <v>518</v>
      </c>
      <c r="E247">
        <v>9140.4</v>
      </c>
      <c r="F247">
        <v>8388.4500000000007</v>
      </c>
      <c r="G247">
        <v>136646</v>
      </c>
      <c r="H247">
        <v>2540</v>
      </c>
      <c r="I247">
        <v>494</v>
      </c>
      <c r="J247">
        <v>21982</v>
      </c>
      <c r="K247">
        <f t="shared" si="21"/>
        <v>1.8588176748679068E-2</v>
      </c>
      <c r="L247">
        <f t="shared" si="22"/>
        <v>3.3025393700787404</v>
      </c>
      <c r="M247">
        <f t="shared" si="23"/>
        <v>16.980668016194333</v>
      </c>
      <c r="N247">
        <f t="shared" si="24"/>
        <v>2.6205079603502432</v>
      </c>
      <c r="O247">
        <f t="shared" si="25"/>
        <v>13593.55</v>
      </c>
      <c r="P247">
        <f t="shared" si="26"/>
        <v>61.839459557820028</v>
      </c>
      <c r="Q247" s="4" t="str">
        <f t="shared" si="27"/>
        <v>2025-02</v>
      </c>
    </row>
    <row r="248" spans="1:17" x14ac:dyDescent="0.3">
      <c r="A248" t="s">
        <v>256</v>
      </c>
      <c r="B248" s="2">
        <v>45652</v>
      </c>
      <c r="C248" t="s">
        <v>511</v>
      </c>
      <c r="D248" t="s">
        <v>515</v>
      </c>
      <c r="E248">
        <v>6073.94</v>
      </c>
      <c r="F248">
        <v>5546.01</v>
      </c>
      <c r="G248">
        <v>106358</v>
      </c>
      <c r="H248">
        <v>1150</v>
      </c>
      <c r="I248">
        <v>118</v>
      </c>
      <c r="J248">
        <v>3997.89</v>
      </c>
      <c r="K248">
        <f t="shared" si="21"/>
        <v>1.0812538784106509E-2</v>
      </c>
      <c r="L248">
        <f t="shared" si="22"/>
        <v>4.8226173913043482</v>
      </c>
      <c r="M248">
        <f t="shared" si="23"/>
        <v>47.000084745762713</v>
      </c>
      <c r="N248">
        <f t="shared" si="24"/>
        <v>0.72085877955503141</v>
      </c>
      <c r="O248">
        <f t="shared" si="25"/>
        <v>-1548.1200000000003</v>
      </c>
      <c r="P248">
        <f t="shared" si="26"/>
        <v>-38.72342660753548</v>
      </c>
      <c r="Q248" s="4" t="str">
        <f t="shared" si="27"/>
        <v>2024-12</v>
      </c>
    </row>
    <row r="249" spans="1:17" x14ac:dyDescent="0.3">
      <c r="A249" t="s">
        <v>257</v>
      </c>
      <c r="B249" s="2">
        <v>45733</v>
      </c>
      <c r="C249" t="s">
        <v>510</v>
      </c>
      <c r="D249" t="s">
        <v>516</v>
      </c>
      <c r="E249">
        <v>5109.6499999999996</v>
      </c>
      <c r="F249">
        <v>5233.7299999999996</v>
      </c>
      <c r="G249">
        <v>179651</v>
      </c>
      <c r="H249">
        <v>4479</v>
      </c>
      <c r="I249">
        <v>887</v>
      </c>
      <c r="J249">
        <v>31117.39</v>
      </c>
      <c r="K249">
        <f t="shared" si="21"/>
        <v>2.4931673077244212E-2</v>
      </c>
      <c r="L249">
        <f t="shared" si="22"/>
        <v>1.1685041303862469</v>
      </c>
      <c r="M249">
        <f t="shared" si="23"/>
        <v>5.9004847801578348</v>
      </c>
      <c r="N249">
        <f t="shared" si="24"/>
        <v>5.945547439397906</v>
      </c>
      <c r="O249">
        <f t="shared" si="25"/>
        <v>25883.66</v>
      </c>
      <c r="P249">
        <f t="shared" si="26"/>
        <v>83.180690925556419</v>
      </c>
      <c r="Q249" s="4" t="str">
        <f t="shared" si="27"/>
        <v>2025-03</v>
      </c>
    </row>
    <row r="250" spans="1:17" x14ac:dyDescent="0.3">
      <c r="A250" t="s">
        <v>258</v>
      </c>
      <c r="B250" s="2">
        <v>45773</v>
      </c>
      <c r="C250" t="s">
        <v>511</v>
      </c>
      <c r="D250" t="s">
        <v>518</v>
      </c>
      <c r="E250">
        <v>4625.49</v>
      </c>
      <c r="F250">
        <v>4948.68</v>
      </c>
      <c r="G250">
        <v>87263</v>
      </c>
      <c r="H250">
        <v>3752</v>
      </c>
      <c r="I250">
        <v>526</v>
      </c>
      <c r="J250">
        <v>16577.8</v>
      </c>
      <c r="K250">
        <f t="shared" si="21"/>
        <v>4.2996458980323851E-2</v>
      </c>
      <c r="L250">
        <f t="shared" si="22"/>
        <v>1.3189445628997869</v>
      </c>
      <c r="M250">
        <f t="shared" si="23"/>
        <v>9.4081368821292788</v>
      </c>
      <c r="N250">
        <f t="shared" si="24"/>
        <v>3.3499438234034122</v>
      </c>
      <c r="O250">
        <f t="shared" si="25"/>
        <v>11629.119999999999</v>
      </c>
      <c r="P250">
        <f t="shared" si="26"/>
        <v>70.148753151805423</v>
      </c>
      <c r="Q250" s="4" t="str">
        <f t="shared" si="27"/>
        <v>2025-04</v>
      </c>
    </row>
    <row r="251" spans="1:17" x14ac:dyDescent="0.3">
      <c r="A251" t="s">
        <v>259</v>
      </c>
      <c r="B251" s="2">
        <v>45640</v>
      </c>
      <c r="C251" t="s">
        <v>510</v>
      </c>
      <c r="D251" t="s">
        <v>516</v>
      </c>
      <c r="E251">
        <v>6804.87</v>
      </c>
      <c r="F251">
        <v>7294.42</v>
      </c>
      <c r="G251">
        <v>142706</v>
      </c>
      <c r="H251">
        <v>4101</v>
      </c>
      <c r="I251">
        <v>124</v>
      </c>
      <c r="J251">
        <v>4802.17</v>
      </c>
      <c r="K251">
        <f t="shared" si="21"/>
        <v>2.8737404173615685E-2</v>
      </c>
      <c r="L251">
        <f t="shared" si="22"/>
        <v>1.7786930017069007</v>
      </c>
      <c r="M251">
        <f t="shared" si="23"/>
        <v>58.825967741935486</v>
      </c>
      <c r="N251">
        <f t="shared" si="24"/>
        <v>0.65833472709276408</v>
      </c>
      <c r="O251">
        <f t="shared" si="25"/>
        <v>-2492.25</v>
      </c>
      <c r="P251">
        <f t="shared" si="26"/>
        <v>-51.898412592640412</v>
      </c>
      <c r="Q251" s="4" t="str">
        <f t="shared" si="27"/>
        <v>2024-12</v>
      </c>
    </row>
    <row r="252" spans="1:17" x14ac:dyDescent="0.3">
      <c r="A252" t="s">
        <v>260</v>
      </c>
      <c r="B252" s="2">
        <v>45712</v>
      </c>
      <c r="C252" t="s">
        <v>510</v>
      </c>
      <c r="D252" t="s">
        <v>515</v>
      </c>
      <c r="E252">
        <v>3818.29</v>
      </c>
      <c r="F252">
        <v>4131.2</v>
      </c>
      <c r="G252">
        <v>197165</v>
      </c>
      <c r="H252">
        <v>8105</v>
      </c>
      <c r="I252">
        <v>869</v>
      </c>
      <c r="J252">
        <v>33744.35</v>
      </c>
      <c r="K252">
        <f t="shared" si="21"/>
        <v>4.1107701671189108E-2</v>
      </c>
      <c r="L252">
        <f t="shared" si="22"/>
        <v>0.50971005552128312</v>
      </c>
      <c r="M252">
        <f t="shared" si="23"/>
        <v>4.7539700805523593</v>
      </c>
      <c r="N252">
        <f t="shared" si="24"/>
        <v>8.1681714756003103</v>
      </c>
      <c r="O252">
        <f t="shared" si="25"/>
        <v>29613.149999999998</v>
      </c>
      <c r="P252">
        <f t="shared" si="26"/>
        <v>87.757357898433369</v>
      </c>
      <c r="Q252" s="4" t="str">
        <f t="shared" si="27"/>
        <v>2025-02</v>
      </c>
    </row>
    <row r="253" spans="1:17" x14ac:dyDescent="0.3">
      <c r="A253" t="s">
        <v>261</v>
      </c>
      <c r="B253" s="2">
        <v>45692</v>
      </c>
      <c r="C253" t="s">
        <v>512</v>
      </c>
      <c r="D253" t="s">
        <v>517</v>
      </c>
      <c r="E253">
        <v>5344.34</v>
      </c>
      <c r="F253">
        <v>4498.7700000000004</v>
      </c>
      <c r="G253">
        <v>141042</v>
      </c>
      <c r="H253">
        <v>2816</v>
      </c>
      <c r="I253">
        <v>230</v>
      </c>
      <c r="J253">
        <v>10078.77</v>
      </c>
      <c r="K253">
        <f t="shared" si="21"/>
        <v>1.9965683980658244E-2</v>
      </c>
      <c r="L253">
        <f t="shared" si="22"/>
        <v>1.5975745738636364</v>
      </c>
      <c r="M253">
        <f t="shared" si="23"/>
        <v>19.559869565217394</v>
      </c>
      <c r="N253">
        <f t="shared" si="24"/>
        <v>2.2403390260004401</v>
      </c>
      <c r="O253">
        <f t="shared" si="25"/>
        <v>5580</v>
      </c>
      <c r="P253">
        <f t="shared" si="26"/>
        <v>55.363898570956572</v>
      </c>
      <c r="Q253" s="4" t="str">
        <f t="shared" si="27"/>
        <v>2025-02</v>
      </c>
    </row>
    <row r="254" spans="1:17" x14ac:dyDescent="0.3">
      <c r="A254" t="s">
        <v>262</v>
      </c>
      <c r="B254" s="2">
        <v>45651</v>
      </c>
      <c r="C254" t="s">
        <v>510</v>
      </c>
      <c r="D254" t="s">
        <v>516</v>
      </c>
      <c r="E254">
        <v>7340.51</v>
      </c>
      <c r="F254">
        <v>7047.17</v>
      </c>
      <c r="G254">
        <v>103661</v>
      </c>
      <c r="H254">
        <v>3336</v>
      </c>
      <c r="I254">
        <v>394</v>
      </c>
      <c r="J254">
        <v>18445.810000000001</v>
      </c>
      <c r="K254">
        <f t="shared" si="21"/>
        <v>3.2181823443725222E-2</v>
      </c>
      <c r="L254">
        <f t="shared" si="22"/>
        <v>2.11246103117506</v>
      </c>
      <c r="M254">
        <f t="shared" si="23"/>
        <v>17.886218274111677</v>
      </c>
      <c r="N254">
        <f t="shared" si="24"/>
        <v>2.6174776541505316</v>
      </c>
      <c r="O254">
        <f t="shared" si="25"/>
        <v>11398.640000000001</v>
      </c>
      <c r="P254">
        <f t="shared" si="26"/>
        <v>61.795280337377434</v>
      </c>
      <c r="Q254" s="4" t="str">
        <f t="shared" si="27"/>
        <v>2024-12</v>
      </c>
    </row>
    <row r="255" spans="1:17" x14ac:dyDescent="0.3">
      <c r="A255" t="s">
        <v>263</v>
      </c>
      <c r="B255" s="2">
        <v>45710</v>
      </c>
      <c r="C255" t="s">
        <v>512</v>
      </c>
      <c r="D255" t="s">
        <v>517</v>
      </c>
      <c r="E255">
        <v>8520.18</v>
      </c>
      <c r="F255">
        <v>7203.83</v>
      </c>
      <c r="G255">
        <v>71137</v>
      </c>
      <c r="H255">
        <v>2638</v>
      </c>
      <c r="I255">
        <v>60</v>
      </c>
      <c r="J255">
        <v>1761.1</v>
      </c>
      <c r="K255">
        <f t="shared" si="21"/>
        <v>3.708337433403152E-2</v>
      </c>
      <c r="L255">
        <f t="shared" si="22"/>
        <v>2.73079226686884</v>
      </c>
      <c r="M255">
        <f t="shared" si="23"/>
        <v>120.06383333333333</v>
      </c>
      <c r="N255">
        <f t="shared" si="24"/>
        <v>0.24446717926436354</v>
      </c>
      <c r="O255">
        <f t="shared" si="25"/>
        <v>-5442.73</v>
      </c>
      <c r="P255">
        <f t="shared" si="26"/>
        <v>-309.05286468684341</v>
      </c>
      <c r="Q255" s="4" t="str">
        <f t="shared" si="27"/>
        <v>2025-02</v>
      </c>
    </row>
    <row r="256" spans="1:17" x14ac:dyDescent="0.3">
      <c r="A256" t="s">
        <v>264</v>
      </c>
      <c r="B256" s="2">
        <v>45734</v>
      </c>
      <c r="C256" t="s">
        <v>513</v>
      </c>
      <c r="D256" t="s">
        <v>518</v>
      </c>
      <c r="E256">
        <v>4739.42</v>
      </c>
      <c r="F256">
        <v>4849.3</v>
      </c>
      <c r="G256">
        <v>109146</v>
      </c>
      <c r="H256">
        <v>3124</v>
      </c>
      <c r="I256">
        <v>400</v>
      </c>
      <c r="J256">
        <v>8402.39</v>
      </c>
      <c r="K256">
        <f t="shared" si="21"/>
        <v>2.8622212449379729E-2</v>
      </c>
      <c r="L256">
        <f t="shared" si="22"/>
        <v>1.5522727272727272</v>
      </c>
      <c r="M256">
        <f t="shared" si="23"/>
        <v>12.123250000000001</v>
      </c>
      <c r="N256">
        <f t="shared" si="24"/>
        <v>1.7327016270389539</v>
      </c>
      <c r="O256">
        <f t="shared" si="25"/>
        <v>3553.0899999999992</v>
      </c>
      <c r="P256">
        <f t="shared" si="26"/>
        <v>42.286658914903967</v>
      </c>
      <c r="Q256" s="4" t="str">
        <f t="shared" si="27"/>
        <v>2025-03</v>
      </c>
    </row>
    <row r="257" spans="1:17" x14ac:dyDescent="0.3">
      <c r="A257" t="s">
        <v>265</v>
      </c>
      <c r="B257" s="2">
        <v>45637</v>
      </c>
      <c r="C257" t="s">
        <v>514</v>
      </c>
      <c r="D257" t="s">
        <v>516</v>
      </c>
      <c r="E257">
        <v>6989.23</v>
      </c>
      <c r="F257">
        <v>7190.08</v>
      </c>
      <c r="G257">
        <v>119284</v>
      </c>
      <c r="H257">
        <v>1389</v>
      </c>
      <c r="I257">
        <v>211</v>
      </c>
      <c r="J257">
        <v>9769.93</v>
      </c>
      <c r="K257">
        <f t="shared" si="21"/>
        <v>1.1644478723047517E-2</v>
      </c>
      <c r="L257">
        <f t="shared" si="22"/>
        <v>5.1764434845212381</v>
      </c>
      <c r="M257">
        <f t="shared" si="23"/>
        <v>34.076208530805687</v>
      </c>
      <c r="N257">
        <f t="shared" si="24"/>
        <v>1.3588068561128668</v>
      </c>
      <c r="O257">
        <f t="shared" si="25"/>
        <v>2579.8500000000004</v>
      </c>
      <c r="P257">
        <f t="shared" si="26"/>
        <v>26.406023379901395</v>
      </c>
      <c r="Q257" s="4" t="str">
        <f t="shared" si="27"/>
        <v>2024-12</v>
      </c>
    </row>
    <row r="258" spans="1:17" x14ac:dyDescent="0.3">
      <c r="A258" t="s">
        <v>266</v>
      </c>
      <c r="B258" s="2">
        <v>45695</v>
      </c>
      <c r="C258" t="s">
        <v>514</v>
      </c>
      <c r="D258" t="s">
        <v>516</v>
      </c>
      <c r="E258">
        <v>5394.57</v>
      </c>
      <c r="F258">
        <v>5644.76</v>
      </c>
      <c r="G258">
        <v>192983</v>
      </c>
      <c r="H258">
        <v>4396</v>
      </c>
      <c r="I258">
        <v>677</v>
      </c>
      <c r="J258">
        <v>15786.93</v>
      </c>
      <c r="K258">
        <f t="shared" si="21"/>
        <v>2.2779208531321413E-2</v>
      </c>
      <c r="L258">
        <f t="shared" si="22"/>
        <v>1.2840673339399455</v>
      </c>
      <c r="M258">
        <f t="shared" si="23"/>
        <v>8.3379025110782869</v>
      </c>
      <c r="N258">
        <f t="shared" si="24"/>
        <v>2.7967406940241921</v>
      </c>
      <c r="O258">
        <f t="shared" si="25"/>
        <v>10142.17</v>
      </c>
      <c r="P258">
        <f t="shared" si="26"/>
        <v>64.244093056724765</v>
      </c>
      <c r="Q258" s="4" t="str">
        <f t="shared" si="27"/>
        <v>2025-02</v>
      </c>
    </row>
    <row r="259" spans="1:17" x14ac:dyDescent="0.3">
      <c r="A259" t="s">
        <v>267</v>
      </c>
      <c r="B259" s="2">
        <v>45769</v>
      </c>
      <c r="C259" t="s">
        <v>512</v>
      </c>
      <c r="D259" t="s">
        <v>517</v>
      </c>
      <c r="E259">
        <v>8925.17</v>
      </c>
      <c r="F259">
        <v>7481.49</v>
      </c>
      <c r="G259">
        <v>121420</v>
      </c>
      <c r="H259">
        <v>2619</v>
      </c>
      <c r="I259">
        <v>104</v>
      </c>
      <c r="J259">
        <v>3319.54</v>
      </c>
      <c r="K259">
        <f t="shared" ref="K259:K322" si="28">H259/G259</f>
        <v>2.1569757865261076E-2</v>
      </c>
      <c r="L259">
        <f t="shared" ref="L259:L322" si="29">F259/H259</f>
        <v>2.8566208476517754</v>
      </c>
      <c r="M259">
        <f t="shared" ref="M259:M322" si="30">F259/I259</f>
        <v>71.937403846153842</v>
      </c>
      <c r="N259">
        <f t="shared" ref="N259:N322" si="31">J259/F259</f>
        <v>0.44370038588569927</v>
      </c>
      <c r="O259">
        <f t="shared" ref="O259:O322" si="32">J259-F259</f>
        <v>-4161.95</v>
      </c>
      <c r="P259">
        <f t="shared" ref="P259:P322" si="33">(O259/J259)*100</f>
        <v>-125.37731131421823</v>
      </c>
      <c r="Q259" s="4" t="str">
        <f t="shared" ref="Q259:Q322" si="34">TEXT(B259,"yyyy-mm")</f>
        <v>2025-04</v>
      </c>
    </row>
    <row r="260" spans="1:17" x14ac:dyDescent="0.3">
      <c r="A260" t="s">
        <v>268</v>
      </c>
      <c r="B260" s="2">
        <v>45774</v>
      </c>
      <c r="C260" t="s">
        <v>512</v>
      </c>
      <c r="D260" t="s">
        <v>517</v>
      </c>
      <c r="E260">
        <v>8581.07</v>
      </c>
      <c r="F260">
        <v>7250.79</v>
      </c>
      <c r="G260">
        <v>157129</v>
      </c>
      <c r="H260">
        <v>6144</v>
      </c>
      <c r="I260">
        <v>426</v>
      </c>
      <c r="J260">
        <v>11449.83</v>
      </c>
      <c r="K260">
        <f t="shared" si="28"/>
        <v>3.9101629870997717E-2</v>
      </c>
      <c r="L260">
        <f t="shared" si="29"/>
        <v>1.1801416015624999</v>
      </c>
      <c r="M260">
        <f t="shared" si="30"/>
        <v>17.020633802816903</v>
      </c>
      <c r="N260">
        <f t="shared" si="31"/>
        <v>1.5791148274877633</v>
      </c>
      <c r="O260">
        <f t="shared" si="32"/>
        <v>4199.04</v>
      </c>
      <c r="P260">
        <f t="shared" si="33"/>
        <v>36.673382923589259</v>
      </c>
      <c r="Q260" s="4" t="str">
        <f t="shared" si="34"/>
        <v>2025-04</v>
      </c>
    </row>
    <row r="261" spans="1:17" x14ac:dyDescent="0.3">
      <c r="A261" t="s">
        <v>269</v>
      </c>
      <c r="B261" s="2">
        <v>45721</v>
      </c>
      <c r="C261" t="s">
        <v>511</v>
      </c>
      <c r="D261" t="s">
        <v>518</v>
      </c>
      <c r="E261">
        <v>8055.77</v>
      </c>
      <c r="F261">
        <v>8184.75</v>
      </c>
      <c r="G261">
        <v>194986</v>
      </c>
      <c r="H261">
        <v>2202</v>
      </c>
      <c r="I261">
        <v>364</v>
      </c>
      <c r="J261">
        <v>14281.33</v>
      </c>
      <c r="K261">
        <f t="shared" si="28"/>
        <v>1.1293118480301149E-2</v>
      </c>
      <c r="L261">
        <f t="shared" si="29"/>
        <v>3.7169618528610355</v>
      </c>
      <c r="M261">
        <f t="shared" si="30"/>
        <v>22.485576923076923</v>
      </c>
      <c r="N261">
        <f t="shared" si="31"/>
        <v>1.7448706435749413</v>
      </c>
      <c r="O261">
        <f t="shared" si="32"/>
        <v>6096.58</v>
      </c>
      <c r="P261">
        <f t="shared" si="33"/>
        <v>42.689161303604081</v>
      </c>
      <c r="Q261" s="4" t="str">
        <f t="shared" si="34"/>
        <v>2025-03</v>
      </c>
    </row>
    <row r="262" spans="1:17" x14ac:dyDescent="0.3">
      <c r="A262" t="s">
        <v>270</v>
      </c>
      <c r="B262" s="2">
        <v>45803</v>
      </c>
      <c r="C262" t="s">
        <v>512</v>
      </c>
      <c r="D262" t="s">
        <v>516</v>
      </c>
      <c r="E262">
        <v>7857.64</v>
      </c>
      <c r="F262">
        <v>7565.47</v>
      </c>
      <c r="G262">
        <v>75023</v>
      </c>
      <c r="H262">
        <v>2918</v>
      </c>
      <c r="I262">
        <v>193</v>
      </c>
      <c r="J262">
        <v>5317.92</v>
      </c>
      <c r="K262">
        <f t="shared" si="28"/>
        <v>3.8894738946723004E-2</v>
      </c>
      <c r="L262">
        <f t="shared" si="29"/>
        <v>2.5926901987662783</v>
      </c>
      <c r="M262">
        <f t="shared" si="30"/>
        <v>39.19932642487047</v>
      </c>
      <c r="N262">
        <f t="shared" si="31"/>
        <v>0.70291997721225519</v>
      </c>
      <c r="O262">
        <f t="shared" si="32"/>
        <v>-2247.5500000000002</v>
      </c>
      <c r="P262">
        <f t="shared" si="33"/>
        <v>-42.263704606312245</v>
      </c>
      <c r="Q262" s="4" t="str">
        <f t="shared" si="34"/>
        <v>2025-05</v>
      </c>
    </row>
    <row r="263" spans="1:17" x14ac:dyDescent="0.3">
      <c r="A263" t="s">
        <v>271</v>
      </c>
      <c r="B263" s="2">
        <v>45765</v>
      </c>
      <c r="C263" t="s">
        <v>510</v>
      </c>
      <c r="D263" t="s">
        <v>518</v>
      </c>
      <c r="E263">
        <v>5419.87</v>
      </c>
      <c r="F263">
        <v>4631.17</v>
      </c>
      <c r="G263">
        <v>190925</v>
      </c>
      <c r="H263">
        <v>4618</v>
      </c>
      <c r="I263">
        <v>144</v>
      </c>
      <c r="J263">
        <v>6804.51</v>
      </c>
      <c r="K263">
        <f t="shared" si="28"/>
        <v>2.4187508183841824E-2</v>
      </c>
      <c r="L263">
        <f t="shared" si="29"/>
        <v>1.0028518839324383</v>
      </c>
      <c r="M263">
        <f t="shared" si="30"/>
        <v>32.160902777777778</v>
      </c>
      <c r="N263">
        <f t="shared" si="31"/>
        <v>1.4692852993951853</v>
      </c>
      <c r="O263">
        <f t="shared" si="32"/>
        <v>2173.34</v>
      </c>
      <c r="P263">
        <f t="shared" si="33"/>
        <v>31.93969881740199</v>
      </c>
      <c r="Q263" s="4" t="str">
        <f t="shared" si="34"/>
        <v>2025-04</v>
      </c>
    </row>
    <row r="264" spans="1:17" x14ac:dyDescent="0.3">
      <c r="A264" t="s">
        <v>272</v>
      </c>
      <c r="B264" s="2">
        <v>45702</v>
      </c>
      <c r="C264" t="s">
        <v>514</v>
      </c>
      <c r="D264" t="s">
        <v>517</v>
      </c>
      <c r="E264">
        <v>7083.74</v>
      </c>
      <c r="F264">
        <v>6518.85</v>
      </c>
      <c r="G264">
        <v>166397</v>
      </c>
      <c r="H264">
        <v>1945</v>
      </c>
      <c r="I264">
        <v>236</v>
      </c>
      <c r="J264">
        <v>7991</v>
      </c>
      <c r="K264">
        <f t="shared" si="28"/>
        <v>1.1688912660684989E-2</v>
      </c>
      <c r="L264">
        <f t="shared" si="29"/>
        <v>3.3515938303341906</v>
      </c>
      <c r="M264">
        <f t="shared" si="30"/>
        <v>27.622245762711866</v>
      </c>
      <c r="N264">
        <f t="shared" si="31"/>
        <v>1.2258297092278545</v>
      </c>
      <c r="O264">
        <f t="shared" si="32"/>
        <v>1472.1499999999996</v>
      </c>
      <c r="P264">
        <f t="shared" si="33"/>
        <v>18.42260042547866</v>
      </c>
      <c r="Q264" s="4" t="str">
        <f t="shared" si="34"/>
        <v>2025-02</v>
      </c>
    </row>
    <row r="265" spans="1:17" x14ac:dyDescent="0.3">
      <c r="A265" t="s">
        <v>273</v>
      </c>
      <c r="B265" s="2">
        <v>45724</v>
      </c>
      <c r="C265" t="s">
        <v>511</v>
      </c>
      <c r="D265" t="s">
        <v>515</v>
      </c>
      <c r="E265">
        <v>9630.98</v>
      </c>
      <c r="F265">
        <v>8147.86</v>
      </c>
      <c r="G265">
        <v>77672</v>
      </c>
      <c r="H265">
        <v>2185</v>
      </c>
      <c r="I265">
        <v>376</v>
      </c>
      <c r="J265">
        <v>14132.67</v>
      </c>
      <c r="K265">
        <f t="shared" si="28"/>
        <v>2.8131115459882582E-2</v>
      </c>
      <c r="L265">
        <f t="shared" si="29"/>
        <v>3.7289977116704804</v>
      </c>
      <c r="M265">
        <f t="shared" si="30"/>
        <v>21.669840425531913</v>
      </c>
      <c r="N265">
        <f t="shared" si="31"/>
        <v>1.7345253845795092</v>
      </c>
      <c r="O265">
        <f t="shared" si="32"/>
        <v>5984.81</v>
      </c>
      <c r="P265">
        <f t="shared" si="33"/>
        <v>42.347341302103573</v>
      </c>
      <c r="Q265" s="4" t="str">
        <f t="shared" si="34"/>
        <v>2025-03</v>
      </c>
    </row>
    <row r="266" spans="1:17" x14ac:dyDescent="0.3">
      <c r="A266" t="s">
        <v>274</v>
      </c>
      <c r="B266" s="2">
        <v>45797</v>
      </c>
      <c r="C266" t="s">
        <v>511</v>
      </c>
      <c r="D266" t="s">
        <v>518</v>
      </c>
      <c r="E266">
        <v>6541.22</v>
      </c>
      <c r="F266">
        <v>6432.87</v>
      </c>
      <c r="G266">
        <v>127332</v>
      </c>
      <c r="H266">
        <v>4365</v>
      </c>
      <c r="I266">
        <v>646</v>
      </c>
      <c r="J266">
        <v>13270.98</v>
      </c>
      <c r="K266">
        <f t="shared" si="28"/>
        <v>3.4280463669776648E-2</v>
      </c>
      <c r="L266">
        <f t="shared" si="29"/>
        <v>1.4737388316151203</v>
      </c>
      <c r="M266">
        <f t="shared" si="30"/>
        <v>9.9580030959752328</v>
      </c>
      <c r="N266">
        <f t="shared" si="31"/>
        <v>2.0629952105358882</v>
      </c>
      <c r="O266">
        <f t="shared" si="32"/>
        <v>6838.11</v>
      </c>
      <c r="P266">
        <f t="shared" si="33"/>
        <v>51.526790033592093</v>
      </c>
      <c r="Q266" s="4" t="str">
        <f t="shared" si="34"/>
        <v>2025-05</v>
      </c>
    </row>
    <row r="267" spans="1:17" x14ac:dyDescent="0.3">
      <c r="A267" t="s">
        <v>275</v>
      </c>
      <c r="B267" s="2">
        <v>45748</v>
      </c>
      <c r="C267" t="s">
        <v>513</v>
      </c>
      <c r="D267" t="s">
        <v>517</v>
      </c>
      <c r="E267">
        <v>9104.8700000000008</v>
      </c>
      <c r="F267">
        <v>9829.94</v>
      </c>
      <c r="G267">
        <v>155035</v>
      </c>
      <c r="H267">
        <v>4402</v>
      </c>
      <c r="I267">
        <v>390</v>
      </c>
      <c r="J267">
        <v>14412.06</v>
      </c>
      <c r="K267">
        <f t="shared" si="28"/>
        <v>2.8393588544522206E-2</v>
      </c>
      <c r="L267">
        <f t="shared" si="29"/>
        <v>2.2330622444343482</v>
      </c>
      <c r="M267">
        <f t="shared" si="30"/>
        <v>25.204974358974361</v>
      </c>
      <c r="N267">
        <f t="shared" si="31"/>
        <v>1.4661391625991611</v>
      </c>
      <c r="O267">
        <f t="shared" si="32"/>
        <v>4582.119999999999</v>
      </c>
      <c r="P267">
        <f t="shared" si="33"/>
        <v>31.79365059540412</v>
      </c>
      <c r="Q267" s="4" t="str">
        <f t="shared" si="34"/>
        <v>2025-04</v>
      </c>
    </row>
    <row r="268" spans="1:17" x14ac:dyDescent="0.3">
      <c r="A268" t="s">
        <v>276</v>
      </c>
      <c r="B268" s="2">
        <v>45798</v>
      </c>
      <c r="C268" t="s">
        <v>510</v>
      </c>
      <c r="D268" t="s">
        <v>517</v>
      </c>
      <c r="E268">
        <v>7876.56</v>
      </c>
      <c r="F268">
        <v>8481.08</v>
      </c>
      <c r="G268">
        <v>148308</v>
      </c>
      <c r="H268">
        <v>5069</v>
      </c>
      <c r="I268">
        <v>397</v>
      </c>
      <c r="J268">
        <v>16363.21</v>
      </c>
      <c r="K268">
        <f t="shared" si="28"/>
        <v>3.4178870998192952E-2</v>
      </c>
      <c r="L268">
        <f t="shared" si="29"/>
        <v>1.6731268494772145</v>
      </c>
      <c r="M268">
        <f t="shared" si="30"/>
        <v>21.362921914357681</v>
      </c>
      <c r="N268">
        <f t="shared" si="31"/>
        <v>1.9293780980724151</v>
      </c>
      <c r="O268">
        <f t="shared" si="32"/>
        <v>7882.1299999999992</v>
      </c>
      <c r="P268">
        <f t="shared" si="33"/>
        <v>48.169827313833899</v>
      </c>
      <c r="Q268" s="4" t="str">
        <f t="shared" si="34"/>
        <v>2025-05</v>
      </c>
    </row>
    <row r="269" spans="1:17" x14ac:dyDescent="0.3">
      <c r="A269" t="s">
        <v>277</v>
      </c>
      <c r="B269" s="2">
        <v>45713</v>
      </c>
      <c r="C269" t="s">
        <v>510</v>
      </c>
      <c r="D269" t="s">
        <v>515</v>
      </c>
      <c r="E269">
        <v>4067.77</v>
      </c>
      <c r="F269">
        <v>3957.48</v>
      </c>
      <c r="G269">
        <v>74611</v>
      </c>
      <c r="H269">
        <v>2423</v>
      </c>
      <c r="I269">
        <v>354</v>
      </c>
      <c r="J269">
        <v>13523.31</v>
      </c>
      <c r="K269">
        <f t="shared" si="28"/>
        <v>3.2475104207154444E-2</v>
      </c>
      <c r="L269">
        <f t="shared" si="29"/>
        <v>1.6332975650020636</v>
      </c>
      <c r="M269">
        <f t="shared" si="30"/>
        <v>11.179322033898305</v>
      </c>
      <c r="N269">
        <f t="shared" si="31"/>
        <v>3.4171518238879286</v>
      </c>
      <c r="O269">
        <f t="shared" si="32"/>
        <v>9565.83</v>
      </c>
      <c r="P269">
        <f t="shared" si="33"/>
        <v>70.735862743662608</v>
      </c>
      <c r="Q269" s="4" t="str">
        <f t="shared" si="34"/>
        <v>2025-02</v>
      </c>
    </row>
    <row r="270" spans="1:17" x14ac:dyDescent="0.3">
      <c r="A270" t="s">
        <v>278</v>
      </c>
      <c r="B270" s="2">
        <v>45776</v>
      </c>
      <c r="C270" t="s">
        <v>514</v>
      </c>
      <c r="D270" t="s">
        <v>515</v>
      </c>
      <c r="E270">
        <v>5968.91</v>
      </c>
      <c r="F270">
        <v>6093.86</v>
      </c>
      <c r="G270">
        <v>196435</v>
      </c>
      <c r="H270">
        <v>5991</v>
      </c>
      <c r="I270">
        <v>805</v>
      </c>
      <c r="J270">
        <v>38664.959999999999</v>
      </c>
      <c r="K270">
        <f t="shared" si="28"/>
        <v>3.0498638226385318E-2</v>
      </c>
      <c r="L270">
        <f t="shared" si="29"/>
        <v>1.0171690869637791</v>
      </c>
      <c r="M270">
        <f t="shared" si="30"/>
        <v>7.5700124223602483</v>
      </c>
      <c r="N270">
        <f t="shared" si="31"/>
        <v>6.3449045432615785</v>
      </c>
      <c r="O270">
        <f t="shared" si="32"/>
        <v>32571.1</v>
      </c>
      <c r="P270">
        <f t="shared" si="33"/>
        <v>84.239321597642927</v>
      </c>
      <c r="Q270" s="4" t="str">
        <f t="shared" si="34"/>
        <v>2025-04</v>
      </c>
    </row>
    <row r="271" spans="1:17" x14ac:dyDescent="0.3">
      <c r="A271" t="s">
        <v>279</v>
      </c>
      <c r="B271" s="2">
        <v>45711</v>
      </c>
      <c r="C271" t="s">
        <v>513</v>
      </c>
      <c r="D271" t="s">
        <v>515</v>
      </c>
      <c r="E271">
        <v>9478.98</v>
      </c>
      <c r="F271">
        <v>8865.23</v>
      </c>
      <c r="G271">
        <v>50483</v>
      </c>
      <c r="H271">
        <v>1111</v>
      </c>
      <c r="I271">
        <v>104</v>
      </c>
      <c r="J271">
        <v>2433.3000000000002</v>
      </c>
      <c r="K271">
        <f t="shared" si="28"/>
        <v>2.2007408434522511E-2</v>
      </c>
      <c r="L271">
        <f t="shared" si="29"/>
        <v>7.9795049504950493</v>
      </c>
      <c r="M271">
        <f t="shared" si="30"/>
        <v>85.242596153846151</v>
      </c>
      <c r="N271">
        <f t="shared" si="31"/>
        <v>0.27447680432430971</v>
      </c>
      <c r="O271">
        <f t="shared" si="32"/>
        <v>-6431.9299999999994</v>
      </c>
      <c r="P271">
        <f t="shared" si="33"/>
        <v>-264.32951136316933</v>
      </c>
      <c r="Q271" s="4" t="str">
        <f t="shared" si="34"/>
        <v>2025-02</v>
      </c>
    </row>
    <row r="272" spans="1:17" x14ac:dyDescent="0.3">
      <c r="A272" t="s">
        <v>280</v>
      </c>
      <c r="B272" s="2">
        <v>45817</v>
      </c>
      <c r="C272" t="s">
        <v>512</v>
      </c>
      <c r="D272" t="s">
        <v>515</v>
      </c>
      <c r="E272">
        <v>9893.89</v>
      </c>
      <c r="F272">
        <v>10405.1</v>
      </c>
      <c r="G272">
        <v>156463</v>
      </c>
      <c r="H272">
        <v>3470</v>
      </c>
      <c r="I272">
        <v>102</v>
      </c>
      <c r="J272">
        <v>2421.4699999999998</v>
      </c>
      <c r="K272">
        <f t="shared" si="28"/>
        <v>2.2177767267660724E-2</v>
      </c>
      <c r="L272">
        <f t="shared" si="29"/>
        <v>2.9985878962536026</v>
      </c>
      <c r="M272">
        <f t="shared" si="30"/>
        <v>102.01078431372549</v>
      </c>
      <c r="N272">
        <f t="shared" si="31"/>
        <v>0.23271953176807525</v>
      </c>
      <c r="O272">
        <f t="shared" si="32"/>
        <v>-7983.630000000001</v>
      </c>
      <c r="P272">
        <f t="shared" si="33"/>
        <v>-329.70179271269109</v>
      </c>
      <c r="Q272" s="4" t="str">
        <f t="shared" si="34"/>
        <v>2025-06</v>
      </c>
    </row>
    <row r="273" spans="1:17" x14ac:dyDescent="0.3">
      <c r="A273" t="s">
        <v>281</v>
      </c>
      <c r="B273" s="2">
        <v>45644</v>
      </c>
      <c r="C273" t="s">
        <v>512</v>
      </c>
      <c r="D273" t="s">
        <v>518</v>
      </c>
      <c r="E273">
        <v>9445.89</v>
      </c>
      <c r="F273">
        <v>10021.799999999999</v>
      </c>
      <c r="G273">
        <v>128263</v>
      </c>
      <c r="H273">
        <v>5531</v>
      </c>
      <c r="I273">
        <v>947</v>
      </c>
      <c r="J273">
        <v>33680.19</v>
      </c>
      <c r="K273">
        <f t="shared" si="28"/>
        <v>4.3122334578171412E-2</v>
      </c>
      <c r="L273">
        <f t="shared" si="29"/>
        <v>1.8119327427228349</v>
      </c>
      <c r="M273">
        <f t="shared" si="30"/>
        <v>10.582682154171065</v>
      </c>
      <c r="N273">
        <f t="shared" si="31"/>
        <v>3.3606926899359402</v>
      </c>
      <c r="O273">
        <f t="shared" si="32"/>
        <v>23658.390000000003</v>
      </c>
      <c r="P273">
        <f t="shared" si="33"/>
        <v>70.244229619844788</v>
      </c>
      <c r="Q273" s="4" t="str">
        <f t="shared" si="34"/>
        <v>2024-12</v>
      </c>
    </row>
    <row r="274" spans="1:17" x14ac:dyDescent="0.3">
      <c r="A274" t="s">
        <v>282</v>
      </c>
      <c r="B274" s="2">
        <v>45768</v>
      </c>
      <c r="C274" t="s">
        <v>513</v>
      </c>
      <c r="D274" t="s">
        <v>517</v>
      </c>
      <c r="E274">
        <v>7138.93</v>
      </c>
      <c r="F274">
        <v>6565.68</v>
      </c>
      <c r="G274">
        <v>52499</v>
      </c>
      <c r="H274">
        <v>1190</v>
      </c>
      <c r="I274">
        <v>108</v>
      </c>
      <c r="J274">
        <v>2337.4299999999998</v>
      </c>
      <c r="K274">
        <f t="shared" si="28"/>
        <v>2.2667098420922304E-2</v>
      </c>
      <c r="L274">
        <f t="shared" si="29"/>
        <v>5.5173781512605045</v>
      </c>
      <c r="M274">
        <f t="shared" si="30"/>
        <v>60.793333333333337</v>
      </c>
      <c r="N274">
        <f t="shared" si="31"/>
        <v>0.35600729855856511</v>
      </c>
      <c r="O274">
        <f t="shared" si="32"/>
        <v>-4228.25</v>
      </c>
      <c r="P274">
        <f t="shared" si="33"/>
        <v>-180.89311765486028</v>
      </c>
      <c r="Q274" s="4" t="str">
        <f t="shared" si="34"/>
        <v>2025-04</v>
      </c>
    </row>
    <row r="275" spans="1:17" x14ac:dyDescent="0.3">
      <c r="A275" t="s">
        <v>283</v>
      </c>
      <c r="B275" s="2">
        <v>45657</v>
      </c>
      <c r="C275" t="s">
        <v>510</v>
      </c>
      <c r="D275" t="s">
        <v>516</v>
      </c>
      <c r="E275">
        <v>5346.38</v>
      </c>
      <c r="F275">
        <v>5564.81</v>
      </c>
      <c r="G275">
        <v>67097</v>
      </c>
      <c r="H275">
        <v>1613</v>
      </c>
      <c r="I275">
        <v>258</v>
      </c>
      <c r="J275">
        <v>5195.8500000000004</v>
      </c>
      <c r="K275">
        <f t="shared" si="28"/>
        <v>2.4039822942903556E-2</v>
      </c>
      <c r="L275">
        <f t="shared" si="29"/>
        <v>3.449975201487911</v>
      </c>
      <c r="M275">
        <f t="shared" si="30"/>
        <v>21.569031007751938</v>
      </c>
      <c r="N275">
        <f t="shared" si="31"/>
        <v>0.933697646460526</v>
      </c>
      <c r="O275">
        <f t="shared" si="32"/>
        <v>-368.96000000000004</v>
      </c>
      <c r="P275">
        <f t="shared" si="33"/>
        <v>-7.1010518009565331</v>
      </c>
      <c r="Q275" s="4" t="str">
        <f t="shared" si="34"/>
        <v>2024-12</v>
      </c>
    </row>
    <row r="276" spans="1:17" x14ac:dyDescent="0.3">
      <c r="A276" t="s">
        <v>284</v>
      </c>
      <c r="B276" s="2">
        <v>45641</v>
      </c>
      <c r="C276" t="s">
        <v>511</v>
      </c>
      <c r="D276" t="s">
        <v>518</v>
      </c>
      <c r="E276">
        <v>5334.49</v>
      </c>
      <c r="F276">
        <v>4904.8</v>
      </c>
      <c r="G276">
        <v>191774</v>
      </c>
      <c r="H276">
        <v>6884</v>
      </c>
      <c r="I276">
        <v>582</v>
      </c>
      <c r="J276">
        <v>21022.93</v>
      </c>
      <c r="K276">
        <f t="shared" si="28"/>
        <v>3.5896419744073753E-2</v>
      </c>
      <c r="L276">
        <f t="shared" si="29"/>
        <v>0.71249273678094138</v>
      </c>
      <c r="M276">
        <f t="shared" si="30"/>
        <v>8.4274914089347082</v>
      </c>
      <c r="N276">
        <f t="shared" si="31"/>
        <v>4.28619515576578</v>
      </c>
      <c r="O276">
        <f t="shared" si="32"/>
        <v>16118.130000000001</v>
      </c>
      <c r="P276">
        <f t="shared" si="33"/>
        <v>76.669284443224612</v>
      </c>
      <c r="Q276" s="4" t="str">
        <f t="shared" si="34"/>
        <v>2024-12</v>
      </c>
    </row>
    <row r="277" spans="1:17" x14ac:dyDescent="0.3">
      <c r="A277" t="s">
        <v>285</v>
      </c>
      <c r="B277" s="2">
        <v>45663</v>
      </c>
      <c r="C277" t="s">
        <v>512</v>
      </c>
      <c r="D277" t="s">
        <v>518</v>
      </c>
      <c r="E277">
        <v>9438.99</v>
      </c>
      <c r="F277">
        <v>8531.94</v>
      </c>
      <c r="G277">
        <v>178702</v>
      </c>
      <c r="H277">
        <v>4580</v>
      </c>
      <c r="I277">
        <v>285</v>
      </c>
      <c r="J277">
        <v>8666.4500000000007</v>
      </c>
      <c r="K277">
        <f t="shared" si="28"/>
        <v>2.5629259885171961E-2</v>
      </c>
      <c r="L277">
        <f t="shared" si="29"/>
        <v>1.8628689956331879</v>
      </c>
      <c r="M277">
        <f t="shared" si="30"/>
        <v>29.93663157894737</v>
      </c>
      <c r="N277">
        <f t="shared" si="31"/>
        <v>1.0157654648298042</v>
      </c>
      <c r="O277">
        <f t="shared" si="32"/>
        <v>134.51000000000022</v>
      </c>
      <c r="P277">
        <f t="shared" si="33"/>
        <v>1.5520772634700506</v>
      </c>
      <c r="Q277" s="4" t="str">
        <f t="shared" si="34"/>
        <v>2025-01</v>
      </c>
    </row>
    <row r="278" spans="1:17" x14ac:dyDescent="0.3">
      <c r="A278" t="s">
        <v>286</v>
      </c>
      <c r="B278" s="2">
        <v>45668</v>
      </c>
      <c r="C278" t="s">
        <v>514</v>
      </c>
      <c r="D278" t="s">
        <v>518</v>
      </c>
      <c r="E278">
        <v>8162.51</v>
      </c>
      <c r="F278">
        <v>7637.38</v>
      </c>
      <c r="G278">
        <v>70461</v>
      </c>
      <c r="H278">
        <v>2962</v>
      </c>
      <c r="I278">
        <v>302</v>
      </c>
      <c r="J278">
        <v>8074.92</v>
      </c>
      <c r="K278">
        <f t="shared" si="28"/>
        <v>4.2037439150735871E-2</v>
      </c>
      <c r="L278">
        <f t="shared" si="29"/>
        <v>2.5784537474679272</v>
      </c>
      <c r="M278">
        <f t="shared" si="30"/>
        <v>25.289337748344373</v>
      </c>
      <c r="N278">
        <f t="shared" si="31"/>
        <v>1.0572892798315652</v>
      </c>
      <c r="O278">
        <f t="shared" si="32"/>
        <v>437.53999999999996</v>
      </c>
      <c r="P278">
        <f t="shared" si="33"/>
        <v>5.4185056941740601</v>
      </c>
      <c r="Q278" s="4" t="str">
        <f t="shared" si="34"/>
        <v>2025-01</v>
      </c>
    </row>
    <row r="279" spans="1:17" x14ac:dyDescent="0.3">
      <c r="A279" t="s">
        <v>287</v>
      </c>
      <c r="B279" s="2">
        <v>45812</v>
      </c>
      <c r="C279" t="s">
        <v>513</v>
      </c>
      <c r="D279" t="s">
        <v>515</v>
      </c>
      <c r="E279">
        <v>6167.08</v>
      </c>
      <c r="F279">
        <v>5194.2700000000004</v>
      </c>
      <c r="G279">
        <v>105961</v>
      </c>
      <c r="H279">
        <v>4343</v>
      </c>
      <c r="I279">
        <v>558</v>
      </c>
      <c r="J279">
        <v>14112.72</v>
      </c>
      <c r="K279">
        <f t="shared" si="28"/>
        <v>4.0986778154226557E-2</v>
      </c>
      <c r="L279">
        <f t="shared" si="29"/>
        <v>1.1960096707345154</v>
      </c>
      <c r="M279">
        <f t="shared" si="30"/>
        <v>9.3087275985663087</v>
      </c>
      <c r="N279">
        <f t="shared" si="31"/>
        <v>2.7169785167116838</v>
      </c>
      <c r="O279">
        <f t="shared" si="32"/>
        <v>8918.4499999999989</v>
      </c>
      <c r="P279">
        <f t="shared" si="33"/>
        <v>63.194409015413044</v>
      </c>
      <c r="Q279" s="4" t="str">
        <f t="shared" si="34"/>
        <v>2025-06</v>
      </c>
    </row>
    <row r="280" spans="1:17" x14ac:dyDescent="0.3">
      <c r="A280" t="s">
        <v>288</v>
      </c>
      <c r="B280" s="2">
        <v>45711</v>
      </c>
      <c r="C280" t="s">
        <v>513</v>
      </c>
      <c r="D280" t="s">
        <v>516</v>
      </c>
      <c r="E280">
        <v>6488.57</v>
      </c>
      <c r="F280">
        <v>6006.32</v>
      </c>
      <c r="G280">
        <v>70597</v>
      </c>
      <c r="H280">
        <v>2706</v>
      </c>
      <c r="I280">
        <v>330</v>
      </c>
      <c r="J280">
        <v>15656.97</v>
      </c>
      <c r="K280">
        <f t="shared" si="28"/>
        <v>3.8330240661784497E-2</v>
      </c>
      <c r="L280">
        <f t="shared" si="29"/>
        <v>2.2196304508499631</v>
      </c>
      <c r="M280">
        <f t="shared" si="30"/>
        <v>18.200969696969697</v>
      </c>
      <c r="N280">
        <f t="shared" si="31"/>
        <v>2.6067492241505614</v>
      </c>
      <c r="O280">
        <f t="shared" si="32"/>
        <v>9650.65</v>
      </c>
      <c r="P280">
        <f t="shared" si="33"/>
        <v>61.638043631686081</v>
      </c>
      <c r="Q280" s="4" t="str">
        <f t="shared" si="34"/>
        <v>2025-02</v>
      </c>
    </row>
    <row r="281" spans="1:17" x14ac:dyDescent="0.3">
      <c r="A281" t="s">
        <v>289</v>
      </c>
      <c r="B281" s="2">
        <v>45706</v>
      </c>
      <c r="C281" t="s">
        <v>510</v>
      </c>
      <c r="D281" t="s">
        <v>516</v>
      </c>
      <c r="E281">
        <v>5536.76</v>
      </c>
      <c r="F281">
        <v>5393.78</v>
      </c>
      <c r="G281">
        <v>99708</v>
      </c>
      <c r="H281">
        <v>4677</v>
      </c>
      <c r="I281">
        <v>700</v>
      </c>
      <c r="J281">
        <v>27277.55</v>
      </c>
      <c r="K281">
        <f t="shared" si="28"/>
        <v>4.6906968347574921E-2</v>
      </c>
      <c r="L281">
        <f t="shared" si="29"/>
        <v>1.1532563609151165</v>
      </c>
      <c r="M281">
        <f t="shared" si="30"/>
        <v>7.7054</v>
      </c>
      <c r="N281">
        <f t="shared" si="31"/>
        <v>5.0572233201947432</v>
      </c>
      <c r="O281">
        <f t="shared" si="32"/>
        <v>21883.77</v>
      </c>
      <c r="P281">
        <f t="shared" si="33"/>
        <v>80.226303315363737</v>
      </c>
      <c r="Q281" s="4" t="str">
        <f t="shared" si="34"/>
        <v>2025-02</v>
      </c>
    </row>
    <row r="282" spans="1:17" x14ac:dyDescent="0.3">
      <c r="A282" t="s">
        <v>290</v>
      </c>
      <c r="B282" s="2">
        <v>45682</v>
      </c>
      <c r="C282" t="s">
        <v>512</v>
      </c>
      <c r="D282" t="s">
        <v>516</v>
      </c>
      <c r="E282">
        <v>3091.66</v>
      </c>
      <c r="F282">
        <v>3088.76</v>
      </c>
      <c r="G282">
        <v>170519</v>
      </c>
      <c r="H282">
        <v>7134</v>
      </c>
      <c r="I282">
        <v>1220</v>
      </c>
      <c r="J282">
        <v>30916.12</v>
      </c>
      <c r="K282">
        <f t="shared" si="28"/>
        <v>4.1836980043279633E-2</v>
      </c>
      <c r="L282">
        <f t="shared" si="29"/>
        <v>0.43296327446033084</v>
      </c>
      <c r="M282">
        <f t="shared" si="30"/>
        <v>2.5317704918032788</v>
      </c>
      <c r="N282">
        <f t="shared" si="31"/>
        <v>10.009233478807028</v>
      </c>
      <c r="O282">
        <f t="shared" si="32"/>
        <v>27827.360000000001</v>
      </c>
      <c r="P282">
        <f t="shared" si="33"/>
        <v>90.009224960958875</v>
      </c>
      <c r="Q282" s="4" t="str">
        <f t="shared" si="34"/>
        <v>2025-01</v>
      </c>
    </row>
    <row r="283" spans="1:17" x14ac:dyDescent="0.3">
      <c r="A283" t="s">
        <v>291</v>
      </c>
      <c r="B283" s="2">
        <v>45797</v>
      </c>
      <c r="C283" t="s">
        <v>513</v>
      </c>
      <c r="D283" t="s">
        <v>515</v>
      </c>
      <c r="E283">
        <v>9727.49</v>
      </c>
      <c r="F283">
        <v>8215.83</v>
      </c>
      <c r="G283">
        <v>124323</v>
      </c>
      <c r="H283">
        <v>2448</v>
      </c>
      <c r="I283">
        <v>214</v>
      </c>
      <c r="J283">
        <v>6941.89</v>
      </c>
      <c r="K283">
        <f t="shared" si="28"/>
        <v>1.9690644530778699E-2</v>
      </c>
      <c r="L283">
        <f t="shared" si="29"/>
        <v>3.3561397058823528</v>
      </c>
      <c r="M283">
        <f t="shared" si="30"/>
        <v>38.391728971962614</v>
      </c>
      <c r="N283">
        <f t="shared" si="31"/>
        <v>0.84494080330289212</v>
      </c>
      <c r="O283">
        <f t="shared" si="32"/>
        <v>-1273.9399999999996</v>
      </c>
      <c r="P283">
        <f t="shared" si="33"/>
        <v>-18.351486410761328</v>
      </c>
      <c r="Q283" s="4" t="str">
        <f t="shared" si="34"/>
        <v>2025-05</v>
      </c>
    </row>
    <row r="284" spans="1:17" x14ac:dyDescent="0.3">
      <c r="A284" t="s">
        <v>292</v>
      </c>
      <c r="B284" s="2">
        <v>45643</v>
      </c>
      <c r="C284" t="s">
        <v>512</v>
      </c>
      <c r="D284" t="s">
        <v>515</v>
      </c>
      <c r="E284">
        <v>3597.45</v>
      </c>
      <c r="F284">
        <v>3953.82</v>
      </c>
      <c r="G284">
        <v>92675</v>
      </c>
      <c r="H284">
        <v>1207</v>
      </c>
      <c r="I284">
        <v>133</v>
      </c>
      <c r="J284">
        <v>4663.76</v>
      </c>
      <c r="K284">
        <f t="shared" si="28"/>
        <v>1.3024008632317237E-2</v>
      </c>
      <c r="L284">
        <f t="shared" si="29"/>
        <v>3.2757415078707539</v>
      </c>
      <c r="M284">
        <f t="shared" si="30"/>
        <v>29.727969924812033</v>
      </c>
      <c r="N284">
        <f t="shared" si="31"/>
        <v>1.1795579970762453</v>
      </c>
      <c r="O284">
        <f t="shared" si="32"/>
        <v>709.94</v>
      </c>
      <c r="P284">
        <f t="shared" si="33"/>
        <v>15.22248143129149</v>
      </c>
      <c r="Q284" s="4" t="str">
        <f t="shared" si="34"/>
        <v>2024-12</v>
      </c>
    </row>
    <row r="285" spans="1:17" x14ac:dyDescent="0.3">
      <c r="A285" t="s">
        <v>293</v>
      </c>
      <c r="B285" s="2">
        <v>45763</v>
      </c>
      <c r="C285" t="s">
        <v>510</v>
      </c>
      <c r="D285" t="s">
        <v>515</v>
      </c>
      <c r="E285">
        <v>7167.7</v>
      </c>
      <c r="F285">
        <v>5878.4</v>
      </c>
      <c r="G285">
        <v>71769</v>
      </c>
      <c r="H285">
        <v>3290</v>
      </c>
      <c r="I285">
        <v>54</v>
      </c>
      <c r="J285">
        <v>2294.94</v>
      </c>
      <c r="K285">
        <f t="shared" si="28"/>
        <v>4.5841519318926001E-2</v>
      </c>
      <c r="L285">
        <f t="shared" si="29"/>
        <v>1.7867477203647415</v>
      </c>
      <c r="M285">
        <f t="shared" si="30"/>
        <v>108.85925925925925</v>
      </c>
      <c r="N285">
        <f t="shared" si="31"/>
        <v>0.39040215024496466</v>
      </c>
      <c r="O285">
        <f t="shared" si="32"/>
        <v>-3583.4599999999996</v>
      </c>
      <c r="P285">
        <f t="shared" si="33"/>
        <v>-156.14613018205267</v>
      </c>
      <c r="Q285" s="4" t="str">
        <f t="shared" si="34"/>
        <v>2025-04</v>
      </c>
    </row>
    <row r="286" spans="1:17" x14ac:dyDescent="0.3">
      <c r="A286" t="s">
        <v>294</v>
      </c>
      <c r="B286" s="2">
        <v>45754</v>
      </c>
      <c r="C286" t="s">
        <v>510</v>
      </c>
      <c r="D286" t="s">
        <v>516</v>
      </c>
      <c r="E286">
        <v>4469.34</v>
      </c>
      <c r="F286">
        <v>4779.58</v>
      </c>
      <c r="G286">
        <v>61798</v>
      </c>
      <c r="H286">
        <v>1170</v>
      </c>
      <c r="I286">
        <v>114</v>
      </c>
      <c r="J286">
        <v>2981.58</v>
      </c>
      <c r="K286">
        <f t="shared" si="28"/>
        <v>1.8932651542121103E-2</v>
      </c>
      <c r="L286">
        <f t="shared" si="29"/>
        <v>4.0851111111111109</v>
      </c>
      <c r="M286">
        <f t="shared" si="30"/>
        <v>41.926140350877191</v>
      </c>
      <c r="N286">
        <f t="shared" si="31"/>
        <v>0.6238163185886626</v>
      </c>
      <c r="O286">
        <f t="shared" si="32"/>
        <v>-1798</v>
      </c>
      <c r="P286">
        <f t="shared" si="33"/>
        <v>-60.303597421501351</v>
      </c>
      <c r="Q286" s="4" t="str">
        <f t="shared" si="34"/>
        <v>2025-04</v>
      </c>
    </row>
    <row r="287" spans="1:17" x14ac:dyDescent="0.3">
      <c r="A287" t="s">
        <v>295</v>
      </c>
      <c r="B287" s="2">
        <v>45693</v>
      </c>
      <c r="C287" t="s">
        <v>514</v>
      </c>
      <c r="D287" t="s">
        <v>515</v>
      </c>
      <c r="E287">
        <v>4334.8100000000004</v>
      </c>
      <c r="F287">
        <v>3515.38</v>
      </c>
      <c r="G287">
        <v>78277</v>
      </c>
      <c r="H287">
        <v>1196</v>
      </c>
      <c r="I287">
        <v>224</v>
      </c>
      <c r="J287">
        <v>7652.29</v>
      </c>
      <c r="K287">
        <f t="shared" si="28"/>
        <v>1.5279073035502126E-2</v>
      </c>
      <c r="L287">
        <f t="shared" si="29"/>
        <v>2.9392809364548498</v>
      </c>
      <c r="M287">
        <f t="shared" si="30"/>
        <v>15.693660714285715</v>
      </c>
      <c r="N287">
        <f t="shared" si="31"/>
        <v>2.1768030767655273</v>
      </c>
      <c r="O287">
        <f t="shared" si="32"/>
        <v>4136.91</v>
      </c>
      <c r="P287">
        <f t="shared" si="33"/>
        <v>54.061071914420388</v>
      </c>
      <c r="Q287" s="4" t="str">
        <f t="shared" si="34"/>
        <v>2025-02</v>
      </c>
    </row>
    <row r="288" spans="1:17" x14ac:dyDescent="0.3">
      <c r="A288" t="s">
        <v>296</v>
      </c>
      <c r="B288" s="2">
        <v>45814</v>
      </c>
      <c r="C288" t="s">
        <v>511</v>
      </c>
      <c r="D288" t="s">
        <v>516</v>
      </c>
      <c r="E288">
        <v>6953.89</v>
      </c>
      <c r="F288">
        <v>5700.19</v>
      </c>
      <c r="G288">
        <v>65823</v>
      </c>
      <c r="H288">
        <v>1049</v>
      </c>
      <c r="I288">
        <v>73</v>
      </c>
      <c r="J288">
        <v>3158.41</v>
      </c>
      <c r="K288">
        <f t="shared" si="28"/>
        <v>1.5936678668550506E-2</v>
      </c>
      <c r="L288">
        <f t="shared" si="29"/>
        <v>5.433927550047664</v>
      </c>
      <c r="M288">
        <f t="shared" si="30"/>
        <v>78.084794520547945</v>
      </c>
      <c r="N288">
        <f t="shared" si="31"/>
        <v>0.55408854792559548</v>
      </c>
      <c r="O288">
        <f t="shared" si="32"/>
        <v>-2541.7799999999997</v>
      </c>
      <c r="P288">
        <f t="shared" si="33"/>
        <v>-80.476568906506756</v>
      </c>
      <c r="Q288" s="4" t="str">
        <f t="shared" si="34"/>
        <v>2025-06</v>
      </c>
    </row>
    <row r="289" spans="1:17" x14ac:dyDescent="0.3">
      <c r="A289" t="s">
        <v>297</v>
      </c>
      <c r="B289" s="2">
        <v>45738</v>
      </c>
      <c r="C289" t="s">
        <v>513</v>
      </c>
      <c r="D289" t="s">
        <v>515</v>
      </c>
      <c r="E289">
        <v>6173.02</v>
      </c>
      <c r="F289">
        <v>5909.54</v>
      </c>
      <c r="G289">
        <v>146175</v>
      </c>
      <c r="H289">
        <v>1946</v>
      </c>
      <c r="I289">
        <v>140</v>
      </c>
      <c r="J289">
        <v>4651.2</v>
      </c>
      <c r="K289">
        <f t="shared" si="28"/>
        <v>1.3312809988028048E-2</v>
      </c>
      <c r="L289">
        <f t="shared" si="29"/>
        <v>3.0367625899280575</v>
      </c>
      <c r="M289">
        <f t="shared" si="30"/>
        <v>42.210999999999999</v>
      </c>
      <c r="N289">
        <f t="shared" si="31"/>
        <v>0.78706633680455662</v>
      </c>
      <c r="O289">
        <f t="shared" si="32"/>
        <v>-1258.3400000000001</v>
      </c>
      <c r="P289">
        <f t="shared" si="33"/>
        <v>-27.054093567251464</v>
      </c>
      <c r="Q289" s="4" t="str">
        <f t="shared" si="34"/>
        <v>2025-03</v>
      </c>
    </row>
    <row r="290" spans="1:17" x14ac:dyDescent="0.3">
      <c r="A290" t="s">
        <v>298</v>
      </c>
      <c r="B290" s="2">
        <v>45642</v>
      </c>
      <c r="C290" t="s">
        <v>510</v>
      </c>
      <c r="D290" t="s">
        <v>517</v>
      </c>
      <c r="E290">
        <v>5805.34</v>
      </c>
      <c r="F290">
        <v>5618.94</v>
      </c>
      <c r="G290">
        <v>102654</v>
      </c>
      <c r="H290">
        <v>4465</v>
      </c>
      <c r="I290">
        <v>500</v>
      </c>
      <c r="J290">
        <v>12328.6</v>
      </c>
      <c r="K290">
        <f t="shared" si="28"/>
        <v>4.3495626083737603E-2</v>
      </c>
      <c r="L290">
        <f t="shared" si="29"/>
        <v>1.258441209406495</v>
      </c>
      <c r="M290">
        <f t="shared" si="30"/>
        <v>11.237879999999999</v>
      </c>
      <c r="N290">
        <f t="shared" si="31"/>
        <v>2.1941149042346066</v>
      </c>
      <c r="O290">
        <f t="shared" si="32"/>
        <v>6709.6600000000008</v>
      </c>
      <c r="P290">
        <f t="shared" si="33"/>
        <v>54.423535519037038</v>
      </c>
      <c r="Q290" s="4" t="str">
        <f t="shared" si="34"/>
        <v>2024-12</v>
      </c>
    </row>
    <row r="291" spans="1:17" x14ac:dyDescent="0.3">
      <c r="A291" t="s">
        <v>299</v>
      </c>
      <c r="B291" s="2">
        <v>45675</v>
      </c>
      <c r="C291" t="s">
        <v>512</v>
      </c>
      <c r="D291" t="s">
        <v>518</v>
      </c>
      <c r="E291">
        <v>4273.5</v>
      </c>
      <c r="F291">
        <v>4523.6499999999996</v>
      </c>
      <c r="G291">
        <v>68829</v>
      </c>
      <c r="H291">
        <v>1090</v>
      </c>
      <c r="I291">
        <v>124</v>
      </c>
      <c r="J291">
        <v>5999.55</v>
      </c>
      <c r="K291">
        <f t="shared" si="28"/>
        <v>1.5836348050966891E-2</v>
      </c>
      <c r="L291">
        <f t="shared" si="29"/>
        <v>4.1501376146788989</v>
      </c>
      <c r="M291">
        <f t="shared" si="30"/>
        <v>36.48104838709677</v>
      </c>
      <c r="N291">
        <f t="shared" si="31"/>
        <v>1.3262630840140153</v>
      </c>
      <c r="O291">
        <f t="shared" si="32"/>
        <v>1475.9000000000005</v>
      </c>
      <c r="P291">
        <f t="shared" si="33"/>
        <v>24.600178346709345</v>
      </c>
      <c r="Q291" s="4" t="str">
        <f t="shared" si="34"/>
        <v>2025-01</v>
      </c>
    </row>
    <row r="292" spans="1:17" x14ac:dyDescent="0.3">
      <c r="A292" t="s">
        <v>300</v>
      </c>
      <c r="B292" s="2">
        <v>45665</v>
      </c>
      <c r="C292" t="s">
        <v>512</v>
      </c>
      <c r="D292" t="s">
        <v>516</v>
      </c>
      <c r="E292">
        <v>5613.17</v>
      </c>
      <c r="F292">
        <v>4946.46</v>
      </c>
      <c r="G292">
        <v>112356</v>
      </c>
      <c r="H292">
        <v>4894</v>
      </c>
      <c r="I292">
        <v>191</v>
      </c>
      <c r="J292">
        <v>7510.12</v>
      </c>
      <c r="K292">
        <f t="shared" si="28"/>
        <v>4.3557976432055251E-2</v>
      </c>
      <c r="L292">
        <f t="shared" si="29"/>
        <v>1.0107192480588476</v>
      </c>
      <c r="M292">
        <f t="shared" si="30"/>
        <v>25.897696335078535</v>
      </c>
      <c r="N292">
        <f t="shared" si="31"/>
        <v>1.5182817610978356</v>
      </c>
      <c r="O292">
        <f t="shared" si="32"/>
        <v>2563.66</v>
      </c>
      <c r="P292">
        <f t="shared" si="33"/>
        <v>34.136072392984396</v>
      </c>
      <c r="Q292" s="4" t="str">
        <f t="shared" si="34"/>
        <v>2025-01</v>
      </c>
    </row>
    <row r="293" spans="1:17" x14ac:dyDescent="0.3">
      <c r="A293" t="s">
        <v>301</v>
      </c>
      <c r="B293" s="2">
        <v>45661</v>
      </c>
      <c r="C293" t="s">
        <v>512</v>
      </c>
      <c r="D293" t="s">
        <v>518</v>
      </c>
      <c r="E293">
        <v>5861.14</v>
      </c>
      <c r="F293">
        <v>4733.55</v>
      </c>
      <c r="G293">
        <v>195477</v>
      </c>
      <c r="H293">
        <v>3560</v>
      </c>
      <c r="I293">
        <v>118</v>
      </c>
      <c r="J293">
        <v>2912.78</v>
      </c>
      <c r="K293">
        <f t="shared" si="28"/>
        <v>1.8211861241987547E-2</v>
      </c>
      <c r="L293">
        <f t="shared" si="29"/>
        <v>1.3296488764044945</v>
      </c>
      <c r="M293">
        <f t="shared" si="30"/>
        <v>40.114830508474576</v>
      </c>
      <c r="N293">
        <f t="shared" si="31"/>
        <v>0.61534788900508075</v>
      </c>
      <c r="O293">
        <f t="shared" si="32"/>
        <v>-1820.77</v>
      </c>
      <c r="P293">
        <f t="shared" si="33"/>
        <v>-62.509698638414157</v>
      </c>
      <c r="Q293" s="4" t="str">
        <f t="shared" si="34"/>
        <v>2025-01</v>
      </c>
    </row>
    <row r="294" spans="1:17" x14ac:dyDescent="0.3">
      <c r="A294" t="s">
        <v>302</v>
      </c>
      <c r="B294" s="2">
        <v>45791</v>
      </c>
      <c r="C294" t="s">
        <v>511</v>
      </c>
      <c r="D294" t="s">
        <v>516</v>
      </c>
      <c r="E294">
        <v>8011.81</v>
      </c>
      <c r="F294">
        <v>7993.2</v>
      </c>
      <c r="G294">
        <v>161797</v>
      </c>
      <c r="H294">
        <v>6944</v>
      </c>
      <c r="I294">
        <v>396</v>
      </c>
      <c r="J294">
        <v>8241.9</v>
      </c>
      <c r="K294">
        <f t="shared" si="28"/>
        <v>4.2917977465589598E-2</v>
      </c>
      <c r="L294">
        <f t="shared" si="29"/>
        <v>1.151094470046083</v>
      </c>
      <c r="M294">
        <f t="shared" si="30"/>
        <v>20.184848484848484</v>
      </c>
      <c r="N294">
        <f t="shared" si="31"/>
        <v>1.0311139468548265</v>
      </c>
      <c r="O294">
        <f t="shared" si="32"/>
        <v>248.69999999999982</v>
      </c>
      <c r="P294">
        <f t="shared" si="33"/>
        <v>3.0175080988606973</v>
      </c>
      <c r="Q294" s="4" t="str">
        <f t="shared" si="34"/>
        <v>2025-05</v>
      </c>
    </row>
    <row r="295" spans="1:17" x14ac:dyDescent="0.3">
      <c r="A295" t="s">
        <v>303</v>
      </c>
      <c r="B295" s="2">
        <v>45789</v>
      </c>
      <c r="C295" t="s">
        <v>511</v>
      </c>
      <c r="D295" t="s">
        <v>515</v>
      </c>
      <c r="E295">
        <v>4553.8100000000004</v>
      </c>
      <c r="F295">
        <v>3958.73</v>
      </c>
      <c r="G295">
        <v>191829</v>
      </c>
      <c r="H295">
        <v>3686</v>
      </c>
      <c r="I295">
        <v>217</v>
      </c>
      <c r="J295">
        <v>8714.02</v>
      </c>
      <c r="K295">
        <f t="shared" si="28"/>
        <v>1.9215030052807447E-2</v>
      </c>
      <c r="L295">
        <f t="shared" si="29"/>
        <v>1.0739907759088443</v>
      </c>
      <c r="M295">
        <f t="shared" si="30"/>
        <v>18.242995391705069</v>
      </c>
      <c r="N295">
        <f t="shared" si="31"/>
        <v>2.2012160465603867</v>
      </c>
      <c r="O295">
        <f t="shared" si="32"/>
        <v>4755.2900000000009</v>
      </c>
      <c r="P295">
        <f t="shared" si="33"/>
        <v>54.570565594295175</v>
      </c>
      <c r="Q295" s="4" t="str">
        <f t="shared" si="34"/>
        <v>2025-05</v>
      </c>
    </row>
    <row r="296" spans="1:17" x14ac:dyDescent="0.3">
      <c r="A296" t="s">
        <v>304</v>
      </c>
      <c r="B296" s="2">
        <v>45735</v>
      </c>
      <c r="C296" t="s">
        <v>510</v>
      </c>
      <c r="D296" t="s">
        <v>518</v>
      </c>
      <c r="E296">
        <v>3137.97</v>
      </c>
      <c r="F296">
        <v>2608.38</v>
      </c>
      <c r="G296">
        <v>54030</v>
      </c>
      <c r="H296">
        <v>2101</v>
      </c>
      <c r="I296">
        <v>226</v>
      </c>
      <c r="J296">
        <v>9943.43</v>
      </c>
      <c r="K296">
        <f t="shared" si="28"/>
        <v>3.8885804182861375E-2</v>
      </c>
      <c r="L296">
        <f t="shared" si="29"/>
        <v>1.2414945264159924</v>
      </c>
      <c r="M296">
        <f t="shared" si="30"/>
        <v>11.541504424778761</v>
      </c>
      <c r="N296">
        <f t="shared" si="31"/>
        <v>3.8121094319079276</v>
      </c>
      <c r="O296">
        <f t="shared" si="32"/>
        <v>7335.05</v>
      </c>
      <c r="P296">
        <f t="shared" si="33"/>
        <v>73.767804469886144</v>
      </c>
      <c r="Q296" s="4" t="str">
        <f t="shared" si="34"/>
        <v>2025-03</v>
      </c>
    </row>
    <row r="297" spans="1:17" x14ac:dyDescent="0.3">
      <c r="A297" t="s">
        <v>305</v>
      </c>
      <c r="B297" s="2">
        <v>45814</v>
      </c>
      <c r="C297" t="s">
        <v>511</v>
      </c>
      <c r="D297" t="s">
        <v>517</v>
      </c>
      <c r="E297">
        <v>4249.8100000000004</v>
      </c>
      <c r="F297">
        <v>4232.0600000000004</v>
      </c>
      <c r="G297">
        <v>134964</v>
      </c>
      <c r="H297">
        <v>2504</v>
      </c>
      <c r="I297">
        <v>293</v>
      </c>
      <c r="J297">
        <v>7953.63</v>
      </c>
      <c r="K297">
        <f t="shared" si="28"/>
        <v>1.8553095640318901E-2</v>
      </c>
      <c r="L297">
        <f t="shared" si="29"/>
        <v>1.6901198083067095</v>
      </c>
      <c r="M297">
        <f t="shared" si="30"/>
        <v>14.443890784982937</v>
      </c>
      <c r="N297">
        <f t="shared" si="31"/>
        <v>1.8793755287023339</v>
      </c>
      <c r="O297">
        <f t="shared" si="32"/>
        <v>3721.5699999999997</v>
      </c>
      <c r="P297">
        <f t="shared" si="33"/>
        <v>46.790836385398862</v>
      </c>
      <c r="Q297" s="4" t="str">
        <f t="shared" si="34"/>
        <v>2025-06</v>
      </c>
    </row>
    <row r="298" spans="1:17" x14ac:dyDescent="0.3">
      <c r="A298" t="s">
        <v>306</v>
      </c>
      <c r="B298" s="2">
        <v>45702</v>
      </c>
      <c r="C298" t="s">
        <v>513</v>
      </c>
      <c r="D298" t="s">
        <v>517</v>
      </c>
      <c r="E298">
        <v>3696.09</v>
      </c>
      <c r="F298">
        <v>3226.51</v>
      </c>
      <c r="G298">
        <v>99410</v>
      </c>
      <c r="H298">
        <v>4795</v>
      </c>
      <c r="I298">
        <v>100</v>
      </c>
      <c r="J298">
        <v>4166.8</v>
      </c>
      <c r="K298">
        <f t="shared" si="28"/>
        <v>4.8234584045870638E-2</v>
      </c>
      <c r="L298">
        <f t="shared" si="29"/>
        <v>0.67289051094890517</v>
      </c>
      <c r="M298">
        <f t="shared" si="30"/>
        <v>32.265100000000004</v>
      </c>
      <c r="N298">
        <f t="shared" si="31"/>
        <v>1.2914263399152643</v>
      </c>
      <c r="O298">
        <f t="shared" si="32"/>
        <v>940.29</v>
      </c>
      <c r="P298">
        <f t="shared" si="33"/>
        <v>22.566237880387828</v>
      </c>
      <c r="Q298" s="4" t="str">
        <f t="shared" si="34"/>
        <v>2025-02</v>
      </c>
    </row>
    <row r="299" spans="1:17" x14ac:dyDescent="0.3">
      <c r="A299" t="s">
        <v>307</v>
      </c>
      <c r="B299" s="2">
        <v>45655</v>
      </c>
      <c r="C299" t="s">
        <v>510</v>
      </c>
      <c r="D299" t="s">
        <v>516</v>
      </c>
      <c r="E299">
        <v>8989.8799999999992</v>
      </c>
      <c r="F299">
        <v>9430.98</v>
      </c>
      <c r="G299">
        <v>152642</v>
      </c>
      <c r="H299">
        <v>2474</v>
      </c>
      <c r="I299">
        <v>292</v>
      </c>
      <c r="J299">
        <v>9319.33</v>
      </c>
      <c r="K299">
        <f t="shared" si="28"/>
        <v>1.620785891170189E-2</v>
      </c>
      <c r="L299">
        <f t="shared" si="29"/>
        <v>3.8120371867421179</v>
      </c>
      <c r="M299">
        <f t="shared" si="30"/>
        <v>32.297876712328765</v>
      </c>
      <c r="N299">
        <f t="shared" si="31"/>
        <v>0.98816135756835455</v>
      </c>
      <c r="O299">
        <f t="shared" si="32"/>
        <v>-111.64999999999964</v>
      </c>
      <c r="P299">
        <f t="shared" si="33"/>
        <v>-1.1980474991227872</v>
      </c>
      <c r="Q299" s="4" t="str">
        <f t="shared" si="34"/>
        <v>2024-12</v>
      </c>
    </row>
    <row r="300" spans="1:17" x14ac:dyDescent="0.3">
      <c r="A300" t="s">
        <v>308</v>
      </c>
      <c r="B300" s="2">
        <v>45756</v>
      </c>
      <c r="C300" t="s">
        <v>512</v>
      </c>
      <c r="D300" t="s">
        <v>515</v>
      </c>
      <c r="E300">
        <v>7676.6</v>
      </c>
      <c r="F300">
        <v>6613.35</v>
      </c>
      <c r="G300">
        <v>111235</v>
      </c>
      <c r="H300">
        <v>4808</v>
      </c>
      <c r="I300">
        <v>370</v>
      </c>
      <c r="J300">
        <v>10653.94</v>
      </c>
      <c r="K300">
        <f t="shared" si="28"/>
        <v>4.3223805456915537E-2</v>
      </c>
      <c r="L300">
        <f t="shared" si="29"/>
        <v>1.375488768718802</v>
      </c>
      <c r="M300">
        <f t="shared" si="30"/>
        <v>17.873918918918921</v>
      </c>
      <c r="N300">
        <f t="shared" si="31"/>
        <v>1.6109747707289044</v>
      </c>
      <c r="O300">
        <f t="shared" si="32"/>
        <v>4040.59</v>
      </c>
      <c r="P300">
        <f t="shared" si="33"/>
        <v>37.925781447990133</v>
      </c>
      <c r="Q300" s="4" t="str">
        <f t="shared" si="34"/>
        <v>2025-04</v>
      </c>
    </row>
    <row r="301" spans="1:17" x14ac:dyDescent="0.3">
      <c r="A301" t="s">
        <v>309</v>
      </c>
      <c r="B301" s="2">
        <v>45718</v>
      </c>
      <c r="C301" t="s">
        <v>513</v>
      </c>
      <c r="D301" t="s">
        <v>515</v>
      </c>
      <c r="E301">
        <v>9274.35</v>
      </c>
      <c r="F301">
        <v>7455.66</v>
      </c>
      <c r="G301">
        <v>195593</v>
      </c>
      <c r="H301">
        <v>5136</v>
      </c>
      <c r="I301">
        <v>798</v>
      </c>
      <c r="J301">
        <v>18007.07</v>
      </c>
      <c r="K301">
        <f t="shared" si="28"/>
        <v>2.6258608436907253E-2</v>
      </c>
      <c r="L301">
        <f t="shared" si="29"/>
        <v>1.4516471962616821</v>
      </c>
      <c r="M301">
        <f t="shared" si="30"/>
        <v>9.3429323308270682</v>
      </c>
      <c r="N301">
        <f t="shared" si="31"/>
        <v>2.4152214559140304</v>
      </c>
      <c r="O301">
        <f t="shared" si="32"/>
        <v>10551.41</v>
      </c>
      <c r="P301">
        <f t="shared" si="33"/>
        <v>58.595929265560699</v>
      </c>
      <c r="Q301" s="4" t="str">
        <f t="shared" si="34"/>
        <v>2025-03</v>
      </c>
    </row>
    <row r="302" spans="1:17" x14ac:dyDescent="0.3">
      <c r="A302" t="s">
        <v>310</v>
      </c>
      <c r="B302" s="2">
        <v>45789</v>
      </c>
      <c r="C302" t="s">
        <v>513</v>
      </c>
      <c r="D302" t="s">
        <v>517</v>
      </c>
      <c r="E302">
        <v>4455.2</v>
      </c>
      <c r="F302">
        <v>3599.62</v>
      </c>
      <c r="G302">
        <v>191906</v>
      </c>
      <c r="H302">
        <v>3380</v>
      </c>
      <c r="I302">
        <v>512</v>
      </c>
      <c r="J302">
        <v>13026.85</v>
      </c>
      <c r="K302">
        <f t="shared" si="28"/>
        <v>1.761278959490584E-2</v>
      </c>
      <c r="L302">
        <f t="shared" si="29"/>
        <v>1.0649763313609466</v>
      </c>
      <c r="M302">
        <f t="shared" si="30"/>
        <v>7.0305078124999998</v>
      </c>
      <c r="N302">
        <f t="shared" si="31"/>
        <v>3.6189514448747371</v>
      </c>
      <c r="O302">
        <f t="shared" si="32"/>
        <v>9427.23</v>
      </c>
      <c r="P302">
        <f t="shared" si="33"/>
        <v>72.367686739311495</v>
      </c>
      <c r="Q302" s="4" t="str">
        <f t="shared" si="34"/>
        <v>2025-05</v>
      </c>
    </row>
    <row r="303" spans="1:17" x14ac:dyDescent="0.3">
      <c r="A303" t="s">
        <v>311</v>
      </c>
      <c r="B303" s="2">
        <v>45739</v>
      </c>
      <c r="C303" t="s">
        <v>512</v>
      </c>
      <c r="D303" t="s">
        <v>517</v>
      </c>
      <c r="E303">
        <v>7081.29</v>
      </c>
      <c r="F303">
        <v>6560.3</v>
      </c>
      <c r="G303">
        <v>163874</v>
      </c>
      <c r="H303">
        <v>4357</v>
      </c>
      <c r="I303">
        <v>137</v>
      </c>
      <c r="J303">
        <v>6408.88</v>
      </c>
      <c r="K303">
        <f t="shared" si="28"/>
        <v>2.6587500152556232E-2</v>
      </c>
      <c r="L303">
        <f t="shared" si="29"/>
        <v>1.5056919899013084</v>
      </c>
      <c r="M303">
        <f t="shared" si="30"/>
        <v>47.885401459854016</v>
      </c>
      <c r="N303">
        <f t="shared" si="31"/>
        <v>0.97691873847232591</v>
      </c>
      <c r="O303">
        <f t="shared" si="32"/>
        <v>-151.42000000000007</v>
      </c>
      <c r="P303">
        <f t="shared" si="33"/>
        <v>-2.3626593102070887</v>
      </c>
      <c r="Q303" s="4" t="str">
        <f t="shared" si="34"/>
        <v>2025-03</v>
      </c>
    </row>
    <row r="304" spans="1:17" x14ac:dyDescent="0.3">
      <c r="A304" t="s">
        <v>312</v>
      </c>
      <c r="B304" s="2">
        <v>45759</v>
      </c>
      <c r="C304" t="s">
        <v>510</v>
      </c>
      <c r="D304" t="s">
        <v>518</v>
      </c>
      <c r="E304">
        <v>8722.1</v>
      </c>
      <c r="F304">
        <v>7872.09</v>
      </c>
      <c r="G304">
        <v>173144</v>
      </c>
      <c r="H304">
        <v>7537</v>
      </c>
      <c r="I304">
        <v>1161</v>
      </c>
      <c r="J304">
        <v>32255.72</v>
      </c>
      <c r="K304">
        <f t="shared" si="28"/>
        <v>4.3530240724483665E-2</v>
      </c>
      <c r="L304">
        <f t="shared" si="29"/>
        <v>1.044459333952501</v>
      </c>
      <c r="M304">
        <f t="shared" si="30"/>
        <v>6.7804392764857884</v>
      </c>
      <c r="N304">
        <f t="shared" si="31"/>
        <v>4.0974785603315</v>
      </c>
      <c r="O304">
        <f t="shared" si="32"/>
        <v>24383.63</v>
      </c>
      <c r="P304">
        <f t="shared" si="33"/>
        <v>75.594747226228392</v>
      </c>
      <c r="Q304" s="4" t="str">
        <f t="shared" si="34"/>
        <v>2025-04</v>
      </c>
    </row>
    <row r="305" spans="1:17" x14ac:dyDescent="0.3">
      <c r="A305" t="s">
        <v>313</v>
      </c>
      <c r="B305" s="2">
        <v>45675</v>
      </c>
      <c r="C305" t="s">
        <v>514</v>
      </c>
      <c r="D305" t="s">
        <v>515</v>
      </c>
      <c r="E305">
        <v>5657.85</v>
      </c>
      <c r="F305">
        <v>5528.22</v>
      </c>
      <c r="G305">
        <v>131078</v>
      </c>
      <c r="H305">
        <v>4550</v>
      </c>
      <c r="I305">
        <v>114</v>
      </c>
      <c r="J305">
        <v>3196.78</v>
      </c>
      <c r="K305">
        <f t="shared" si="28"/>
        <v>3.4712156120783044E-2</v>
      </c>
      <c r="L305">
        <f t="shared" si="29"/>
        <v>1.2149934065934067</v>
      </c>
      <c r="M305">
        <f t="shared" si="30"/>
        <v>48.493157894736846</v>
      </c>
      <c r="N305">
        <f t="shared" si="31"/>
        <v>0.57826569854311149</v>
      </c>
      <c r="O305">
        <f t="shared" si="32"/>
        <v>-2331.44</v>
      </c>
      <c r="P305">
        <f t="shared" si="33"/>
        <v>-72.930886704746641</v>
      </c>
      <c r="Q305" s="4" t="str">
        <f t="shared" si="34"/>
        <v>2025-01</v>
      </c>
    </row>
    <row r="306" spans="1:17" x14ac:dyDescent="0.3">
      <c r="A306" t="s">
        <v>314</v>
      </c>
      <c r="B306" s="2">
        <v>45745</v>
      </c>
      <c r="C306" t="s">
        <v>511</v>
      </c>
      <c r="D306" t="s">
        <v>518</v>
      </c>
      <c r="E306">
        <v>7369.04</v>
      </c>
      <c r="F306">
        <v>6800.32</v>
      </c>
      <c r="G306">
        <v>171377</v>
      </c>
      <c r="H306">
        <v>4129</v>
      </c>
      <c r="I306">
        <v>453</v>
      </c>
      <c r="J306">
        <v>16562.32</v>
      </c>
      <c r="K306">
        <f t="shared" si="28"/>
        <v>2.4093081335301702E-2</v>
      </c>
      <c r="L306">
        <f t="shared" si="29"/>
        <v>1.6469653669169291</v>
      </c>
      <c r="M306">
        <f t="shared" si="30"/>
        <v>15.011743929359822</v>
      </c>
      <c r="N306">
        <f t="shared" si="31"/>
        <v>2.4355206813796997</v>
      </c>
      <c r="O306">
        <f t="shared" si="32"/>
        <v>9762</v>
      </c>
      <c r="P306">
        <f t="shared" si="33"/>
        <v>58.941017925024994</v>
      </c>
      <c r="Q306" s="4" t="str">
        <f t="shared" si="34"/>
        <v>2025-03</v>
      </c>
    </row>
    <row r="307" spans="1:17" x14ac:dyDescent="0.3">
      <c r="A307" t="s">
        <v>315</v>
      </c>
      <c r="B307" s="2">
        <v>45769</v>
      </c>
      <c r="C307" t="s">
        <v>513</v>
      </c>
      <c r="D307" t="s">
        <v>516</v>
      </c>
      <c r="E307">
        <v>6052.89</v>
      </c>
      <c r="F307">
        <v>5377.02</v>
      </c>
      <c r="G307">
        <v>118229</v>
      </c>
      <c r="H307">
        <v>1135</v>
      </c>
      <c r="I307">
        <v>149</v>
      </c>
      <c r="J307">
        <v>7219.59</v>
      </c>
      <c r="K307">
        <f t="shared" si="28"/>
        <v>9.6000135330587249E-3</v>
      </c>
      <c r="L307">
        <f t="shared" si="29"/>
        <v>4.73746255506608</v>
      </c>
      <c r="M307">
        <f t="shared" si="30"/>
        <v>36.087382550335576</v>
      </c>
      <c r="N307">
        <f t="shared" si="31"/>
        <v>1.3426749389066805</v>
      </c>
      <c r="O307">
        <f t="shared" si="32"/>
        <v>1842.5699999999997</v>
      </c>
      <c r="P307">
        <f t="shared" si="33"/>
        <v>25.521809410229661</v>
      </c>
      <c r="Q307" s="4" t="str">
        <f t="shared" si="34"/>
        <v>2025-04</v>
      </c>
    </row>
    <row r="308" spans="1:17" x14ac:dyDescent="0.3">
      <c r="A308" t="s">
        <v>316</v>
      </c>
      <c r="B308" s="2">
        <v>45756</v>
      </c>
      <c r="C308" t="s">
        <v>513</v>
      </c>
      <c r="D308" t="s">
        <v>515</v>
      </c>
      <c r="E308">
        <v>8345.24</v>
      </c>
      <c r="F308">
        <v>7026.98</v>
      </c>
      <c r="G308">
        <v>93966</v>
      </c>
      <c r="H308">
        <v>2601</v>
      </c>
      <c r="I308">
        <v>324</v>
      </c>
      <c r="J308">
        <v>14921.51</v>
      </c>
      <c r="K308">
        <f t="shared" si="28"/>
        <v>2.7680224762148011E-2</v>
      </c>
      <c r="L308">
        <f t="shared" si="29"/>
        <v>2.7016455209534791</v>
      </c>
      <c r="M308">
        <f t="shared" si="30"/>
        <v>21.688209876543208</v>
      </c>
      <c r="N308">
        <f t="shared" si="31"/>
        <v>2.1234598646929408</v>
      </c>
      <c r="O308">
        <f t="shared" si="32"/>
        <v>7894.5300000000007</v>
      </c>
      <c r="P308">
        <f t="shared" si="33"/>
        <v>52.907044930439348</v>
      </c>
      <c r="Q308" s="4" t="str">
        <f t="shared" si="34"/>
        <v>2025-04</v>
      </c>
    </row>
    <row r="309" spans="1:17" x14ac:dyDescent="0.3">
      <c r="A309" t="s">
        <v>317</v>
      </c>
      <c r="B309" s="2">
        <v>45714</v>
      </c>
      <c r="C309" t="s">
        <v>513</v>
      </c>
      <c r="D309" t="s">
        <v>515</v>
      </c>
      <c r="E309">
        <v>6412.02</v>
      </c>
      <c r="F309">
        <v>6850.38</v>
      </c>
      <c r="G309">
        <v>180247</v>
      </c>
      <c r="H309">
        <v>6040</v>
      </c>
      <c r="I309">
        <v>1020</v>
      </c>
      <c r="J309">
        <v>44875.57</v>
      </c>
      <c r="K309">
        <f t="shared" si="28"/>
        <v>3.3509572974862276E-2</v>
      </c>
      <c r="L309">
        <f t="shared" si="29"/>
        <v>1.1341688741721854</v>
      </c>
      <c r="M309">
        <f t="shared" si="30"/>
        <v>6.7160588235294121</v>
      </c>
      <c r="N309">
        <f t="shared" si="31"/>
        <v>6.5508146993305481</v>
      </c>
      <c r="O309">
        <f t="shared" si="32"/>
        <v>38025.19</v>
      </c>
      <c r="P309">
        <f t="shared" si="33"/>
        <v>84.734723146692076</v>
      </c>
      <c r="Q309" s="4" t="str">
        <f t="shared" si="34"/>
        <v>2025-02</v>
      </c>
    </row>
    <row r="310" spans="1:17" x14ac:dyDescent="0.3">
      <c r="A310" t="s">
        <v>318</v>
      </c>
      <c r="B310" s="2">
        <v>45743</v>
      </c>
      <c r="C310" t="s">
        <v>510</v>
      </c>
      <c r="D310" t="s">
        <v>515</v>
      </c>
      <c r="E310">
        <v>5976.49</v>
      </c>
      <c r="F310">
        <v>4821.4799999999996</v>
      </c>
      <c r="G310">
        <v>80643</v>
      </c>
      <c r="H310">
        <v>2915</v>
      </c>
      <c r="I310">
        <v>337</v>
      </c>
      <c r="J310">
        <v>9456.33</v>
      </c>
      <c r="K310">
        <f t="shared" si="28"/>
        <v>3.6146968738762199E-2</v>
      </c>
      <c r="L310">
        <f t="shared" si="29"/>
        <v>1.6540240137221267</v>
      </c>
      <c r="M310">
        <f t="shared" si="30"/>
        <v>14.307062314540058</v>
      </c>
      <c r="N310">
        <f t="shared" si="31"/>
        <v>1.9612919684412258</v>
      </c>
      <c r="O310">
        <f t="shared" si="32"/>
        <v>4634.8500000000004</v>
      </c>
      <c r="P310">
        <f t="shared" si="33"/>
        <v>49.013200681448303</v>
      </c>
      <c r="Q310" s="4" t="str">
        <f t="shared" si="34"/>
        <v>2025-03</v>
      </c>
    </row>
    <row r="311" spans="1:17" x14ac:dyDescent="0.3">
      <c r="A311" t="s">
        <v>319</v>
      </c>
      <c r="B311" s="2">
        <v>45810</v>
      </c>
      <c r="C311" t="s">
        <v>513</v>
      </c>
      <c r="D311" t="s">
        <v>517</v>
      </c>
      <c r="E311">
        <v>6791.44</v>
      </c>
      <c r="F311">
        <v>6723.82</v>
      </c>
      <c r="G311">
        <v>175493</v>
      </c>
      <c r="H311">
        <v>7200</v>
      </c>
      <c r="I311">
        <v>476</v>
      </c>
      <c r="J311">
        <v>13202.64</v>
      </c>
      <c r="K311">
        <f t="shared" si="28"/>
        <v>4.1027277441265463E-2</v>
      </c>
      <c r="L311">
        <f t="shared" si="29"/>
        <v>0.93386388888888883</v>
      </c>
      <c r="M311">
        <f t="shared" si="30"/>
        <v>14.125672268907563</v>
      </c>
      <c r="N311">
        <f t="shared" si="31"/>
        <v>1.9635623797186719</v>
      </c>
      <c r="O311">
        <f t="shared" si="32"/>
        <v>6478.82</v>
      </c>
      <c r="P311">
        <f t="shared" si="33"/>
        <v>49.072155265916514</v>
      </c>
      <c r="Q311" s="4" t="str">
        <f t="shared" si="34"/>
        <v>2025-06</v>
      </c>
    </row>
    <row r="312" spans="1:17" x14ac:dyDescent="0.3">
      <c r="A312" t="s">
        <v>320</v>
      </c>
      <c r="B312" s="2">
        <v>45790</v>
      </c>
      <c r="C312" t="s">
        <v>512</v>
      </c>
      <c r="D312" t="s">
        <v>517</v>
      </c>
      <c r="E312">
        <v>3975.49</v>
      </c>
      <c r="F312">
        <v>4176.17</v>
      </c>
      <c r="G312">
        <v>125145</v>
      </c>
      <c r="H312">
        <v>1135</v>
      </c>
      <c r="I312">
        <v>91</v>
      </c>
      <c r="J312">
        <v>4507.42</v>
      </c>
      <c r="K312">
        <f t="shared" si="28"/>
        <v>9.0694794038914863E-3</v>
      </c>
      <c r="L312">
        <f t="shared" si="29"/>
        <v>3.6794449339207049</v>
      </c>
      <c r="M312">
        <f t="shared" si="30"/>
        <v>45.891978021978019</v>
      </c>
      <c r="N312">
        <f t="shared" si="31"/>
        <v>1.0793190890217592</v>
      </c>
      <c r="O312">
        <f t="shared" si="32"/>
        <v>331.25</v>
      </c>
      <c r="P312">
        <f t="shared" si="33"/>
        <v>7.348993437487521</v>
      </c>
      <c r="Q312" s="4" t="str">
        <f t="shared" si="34"/>
        <v>2025-05</v>
      </c>
    </row>
    <row r="313" spans="1:17" x14ac:dyDescent="0.3">
      <c r="A313" t="s">
        <v>321</v>
      </c>
      <c r="B313" s="2">
        <v>45767</v>
      </c>
      <c r="C313" t="s">
        <v>514</v>
      </c>
      <c r="D313" t="s">
        <v>518</v>
      </c>
      <c r="E313">
        <v>6679.83</v>
      </c>
      <c r="F313">
        <v>5687.9</v>
      </c>
      <c r="G313">
        <v>197509</v>
      </c>
      <c r="H313">
        <v>8448</v>
      </c>
      <c r="I313">
        <v>669</v>
      </c>
      <c r="J313">
        <v>18845.21</v>
      </c>
      <c r="K313">
        <f t="shared" si="28"/>
        <v>4.2772734407039679E-2</v>
      </c>
      <c r="L313">
        <f t="shared" si="29"/>
        <v>0.67328361742424236</v>
      </c>
      <c r="M313">
        <f t="shared" si="30"/>
        <v>8.5020926756352768</v>
      </c>
      <c r="N313">
        <f t="shared" si="31"/>
        <v>3.3132104994813552</v>
      </c>
      <c r="O313">
        <f t="shared" si="32"/>
        <v>13157.31</v>
      </c>
      <c r="P313">
        <f t="shared" si="33"/>
        <v>69.817794548322894</v>
      </c>
      <c r="Q313" s="4" t="str">
        <f t="shared" si="34"/>
        <v>2025-04</v>
      </c>
    </row>
    <row r="314" spans="1:17" x14ac:dyDescent="0.3">
      <c r="A314" t="s">
        <v>322</v>
      </c>
      <c r="B314" s="2">
        <v>45769</v>
      </c>
      <c r="C314" t="s">
        <v>512</v>
      </c>
      <c r="D314" t="s">
        <v>517</v>
      </c>
      <c r="E314">
        <v>3128.73</v>
      </c>
      <c r="F314">
        <v>3361.16</v>
      </c>
      <c r="G314">
        <v>158254</v>
      </c>
      <c r="H314">
        <v>1254</v>
      </c>
      <c r="I314">
        <v>110</v>
      </c>
      <c r="J314">
        <v>2588.58</v>
      </c>
      <c r="K314">
        <f t="shared" si="28"/>
        <v>7.9239703261844881E-3</v>
      </c>
      <c r="L314">
        <f t="shared" si="29"/>
        <v>2.6803508771929825</v>
      </c>
      <c r="M314">
        <f t="shared" si="30"/>
        <v>30.555999999999997</v>
      </c>
      <c r="N314">
        <f t="shared" si="31"/>
        <v>0.77014483095121922</v>
      </c>
      <c r="O314">
        <f t="shared" si="32"/>
        <v>-772.57999999999993</v>
      </c>
      <c r="P314">
        <f t="shared" si="33"/>
        <v>-29.845706912670266</v>
      </c>
      <c r="Q314" s="4" t="str">
        <f t="shared" si="34"/>
        <v>2025-04</v>
      </c>
    </row>
    <row r="315" spans="1:17" x14ac:dyDescent="0.3">
      <c r="A315" t="s">
        <v>323</v>
      </c>
      <c r="B315" s="2">
        <v>45685</v>
      </c>
      <c r="C315" t="s">
        <v>514</v>
      </c>
      <c r="D315" t="s">
        <v>517</v>
      </c>
      <c r="E315">
        <v>7035.62</v>
      </c>
      <c r="F315">
        <v>6206.94</v>
      </c>
      <c r="G315">
        <v>50360</v>
      </c>
      <c r="H315">
        <v>1689</v>
      </c>
      <c r="I315">
        <v>308</v>
      </c>
      <c r="J315">
        <v>11280.6</v>
      </c>
      <c r="K315">
        <f t="shared" si="28"/>
        <v>3.3538522637013506E-2</v>
      </c>
      <c r="L315">
        <f t="shared" si="29"/>
        <v>3.674920071047957</v>
      </c>
      <c r="M315">
        <f t="shared" si="30"/>
        <v>20.152402597402595</v>
      </c>
      <c r="N315">
        <f t="shared" si="31"/>
        <v>1.8174172780790536</v>
      </c>
      <c r="O315">
        <f t="shared" si="32"/>
        <v>5073.6600000000008</v>
      </c>
      <c r="P315">
        <f t="shared" si="33"/>
        <v>44.976862932822726</v>
      </c>
      <c r="Q315" s="4" t="str">
        <f t="shared" si="34"/>
        <v>2025-01</v>
      </c>
    </row>
    <row r="316" spans="1:17" x14ac:dyDescent="0.3">
      <c r="A316" t="s">
        <v>324</v>
      </c>
      <c r="B316" s="2">
        <v>45783</v>
      </c>
      <c r="C316" t="s">
        <v>512</v>
      </c>
      <c r="D316" t="s">
        <v>515</v>
      </c>
      <c r="E316">
        <v>7559.94</v>
      </c>
      <c r="F316">
        <v>7929.79</v>
      </c>
      <c r="G316">
        <v>98472</v>
      </c>
      <c r="H316">
        <v>4803</v>
      </c>
      <c r="I316">
        <v>235</v>
      </c>
      <c r="J316">
        <v>6155.27</v>
      </c>
      <c r="K316">
        <f t="shared" si="28"/>
        <v>4.8775286375822569E-2</v>
      </c>
      <c r="L316">
        <f t="shared" si="29"/>
        <v>1.6510077035186341</v>
      </c>
      <c r="M316">
        <f t="shared" si="30"/>
        <v>33.74378723404255</v>
      </c>
      <c r="N316">
        <f t="shared" si="31"/>
        <v>0.7762210600785141</v>
      </c>
      <c r="O316">
        <f t="shared" si="32"/>
        <v>-1774.5199999999995</v>
      </c>
      <c r="P316">
        <f t="shared" si="33"/>
        <v>-28.829279625426658</v>
      </c>
      <c r="Q316" s="4" t="str">
        <f t="shared" si="34"/>
        <v>2025-05</v>
      </c>
    </row>
    <row r="317" spans="1:17" x14ac:dyDescent="0.3">
      <c r="A317" t="s">
        <v>325</v>
      </c>
      <c r="B317" s="2">
        <v>45755</v>
      </c>
      <c r="C317" t="s">
        <v>511</v>
      </c>
      <c r="D317" t="s">
        <v>516</v>
      </c>
      <c r="E317">
        <v>3076.97</v>
      </c>
      <c r="F317">
        <v>2587.9299999999998</v>
      </c>
      <c r="G317">
        <v>154581</v>
      </c>
      <c r="H317">
        <v>6093</v>
      </c>
      <c r="I317">
        <v>236</v>
      </c>
      <c r="J317">
        <v>11092.13</v>
      </c>
      <c r="K317">
        <f t="shared" si="28"/>
        <v>3.9416228385118483E-2</v>
      </c>
      <c r="L317">
        <f t="shared" si="29"/>
        <v>0.42473822419169538</v>
      </c>
      <c r="M317">
        <f t="shared" si="30"/>
        <v>10.965805084745762</v>
      </c>
      <c r="N317">
        <f t="shared" si="31"/>
        <v>4.286101246942537</v>
      </c>
      <c r="O317">
        <f t="shared" si="32"/>
        <v>8504.1999999999989</v>
      </c>
      <c r="P317">
        <f t="shared" si="33"/>
        <v>76.668773265369225</v>
      </c>
      <c r="Q317" s="4" t="str">
        <f t="shared" si="34"/>
        <v>2025-04</v>
      </c>
    </row>
    <row r="318" spans="1:17" x14ac:dyDescent="0.3">
      <c r="A318" t="s">
        <v>326</v>
      </c>
      <c r="B318" s="2">
        <v>45686</v>
      </c>
      <c r="C318" t="s">
        <v>513</v>
      </c>
      <c r="D318" t="s">
        <v>516</v>
      </c>
      <c r="E318">
        <v>9117.23</v>
      </c>
      <c r="F318">
        <v>8927.81</v>
      </c>
      <c r="G318">
        <v>68618</v>
      </c>
      <c r="H318">
        <v>3036</v>
      </c>
      <c r="I318">
        <v>196</v>
      </c>
      <c r="J318">
        <v>7451.04</v>
      </c>
      <c r="K318">
        <f t="shared" si="28"/>
        <v>4.42449503045848E-2</v>
      </c>
      <c r="L318">
        <f t="shared" si="29"/>
        <v>2.9406488801054018</v>
      </c>
      <c r="M318">
        <f t="shared" si="30"/>
        <v>45.550051020408162</v>
      </c>
      <c r="N318">
        <f t="shared" si="31"/>
        <v>0.83458765363510201</v>
      </c>
      <c r="O318">
        <f t="shared" si="32"/>
        <v>-1476.7699999999995</v>
      </c>
      <c r="P318">
        <f t="shared" si="33"/>
        <v>-19.819649337542135</v>
      </c>
      <c r="Q318" s="4" t="str">
        <f t="shared" si="34"/>
        <v>2025-01</v>
      </c>
    </row>
    <row r="319" spans="1:17" x14ac:dyDescent="0.3">
      <c r="A319" t="s">
        <v>327</v>
      </c>
      <c r="B319" s="2">
        <v>45663</v>
      </c>
      <c r="C319" t="s">
        <v>514</v>
      </c>
      <c r="D319" t="s">
        <v>516</v>
      </c>
      <c r="E319">
        <v>7655.26</v>
      </c>
      <c r="F319">
        <v>6526.96</v>
      </c>
      <c r="G319">
        <v>95395</v>
      </c>
      <c r="H319">
        <v>4443</v>
      </c>
      <c r="I319">
        <v>353</v>
      </c>
      <c r="J319">
        <v>16743.62</v>
      </c>
      <c r="K319">
        <f t="shared" si="28"/>
        <v>4.6574768069605324E-2</v>
      </c>
      <c r="L319">
        <f t="shared" si="29"/>
        <v>1.4690434391177132</v>
      </c>
      <c r="M319">
        <f t="shared" si="30"/>
        <v>18.489971671388101</v>
      </c>
      <c r="N319">
        <f t="shared" si="31"/>
        <v>2.5653014573400172</v>
      </c>
      <c r="O319">
        <f t="shared" si="32"/>
        <v>10216.66</v>
      </c>
      <c r="P319">
        <f t="shared" si="33"/>
        <v>61.018226643939613</v>
      </c>
      <c r="Q319" s="4" t="str">
        <f t="shared" si="34"/>
        <v>2025-01</v>
      </c>
    </row>
    <row r="320" spans="1:17" x14ac:dyDescent="0.3">
      <c r="A320" t="s">
        <v>328</v>
      </c>
      <c r="B320" s="2">
        <v>45685</v>
      </c>
      <c r="C320" t="s">
        <v>513</v>
      </c>
      <c r="D320" t="s">
        <v>515</v>
      </c>
      <c r="E320">
        <v>5931.39</v>
      </c>
      <c r="F320">
        <v>5426.88</v>
      </c>
      <c r="G320">
        <v>87162</v>
      </c>
      <c r="H320">
        <v>1775</v>
      </c>
      <c r="I320">
        <v>84</v>
      </c>
      <c r="J320">
        <v>2987.67</v>
      </c>
      <c r="K320">
        <f t="shared" si="28"/>
        <v>2.0364378972488009E-2</v>
      </c>
      <c r="L320">
        <f t="shared" si="29"/>
        <v>3.0573971830985918</v>
      </c>
      <c r="M320">
        <f t="shared" si="30"/>
        <v>64.605714285714285</v>
      </c>
      <c r="N320">
        <f t="shared" si="31"/>
        <v>0.55053179727578272</v>
      </c>
      <c r="O320">
        <f t="shared" si="32"/>
        <v>-2439.21</v>
      </c>
      <c r="P320">
        <f t="shared" si="33"/>
        <v>-81.642550884133797</v>
      </c>
      <c r="Q320" s="4" t="str">
        <f t="shared" si="34"/>
        <v>2025-01</v>
      </c>
    </row>
    <row r="321" spans="1:17" x14ac:dyDescent="0.3">
      <c r="A321" t="s">
        <v>329</v>
      </c>
      <c r="B321" s="2">
        <v>45754</v>
      </c>
      <c r="C321" t="s">
        <v>514</v>
      </c>
      <c r="D321" t="s">
        <v>518</v>
      </c>
      <c r="E321">
        <v>3328.76</v>
      </c>
      <c r="F321">
        <v>2829.06</v>
      </c>
      <c r="G321">
        <v>54764</v>
      </c>
      <c r="H321">
        <v>1698</v>
      </c>
      <c r="I321">
        <v>278</v>
      </c>
      <c r="J321">
        <v>11715.2</v>
      </c>
      <c r="K321">
        <f t="shared" si="28"/>
        <v>3.1005770214009205E-2</v>
      </c>
      <c r="L321">
        <f t="shared" si="29"/>
        <v>1.666113074204947</v>
      </c>
      <c r="M321">
        <f t="shared" si="30"/>
        <v>10.176474820143884</v>
      </c>
      <c r="N321">
        <f t="shared" si="31"/>
        <v>4.1410221062826524</v>
      </c>
      <c r="O321">
        <f t="shared" si="32"/>
        <v>8886.1400000000012</v>
      </c>
      <c r="P321">
        <f t="shared" si="33"/>
        <v>75.851372575798976</v>
      </c>
      <c r="Q321" s="4" t="str">
        <f t="shared" si="34"/>
        <v>2025-04</v>
      </c>
    </row>
    <row r="322" spans="1:17" x14ac:dyDescent="0.3">
      <c r="A322" t="s">
        <v>330</v>
      </c>
      <c r="B322" s="2">
        <v>45800</v>
      </c>
      <c r="C322" t="s">
        <v>511</v>
      </c>
      <c r="D322" t="s">
        <v>518</v>
      </c>
      <c r="E322">
        <v>3579.59</v>
      </c>
      <c r="F322">
        <v>3511.38</v>
      </c>
      <c r="G322">
        <v>141976</v>
      </c>
      <c r="H322">
        <v>6294</v>
      </c>
      <c r="I322">
        <v>311</v>
      </c>
      <c r="J322">
        <v>8509.11</v>
      </c>
      <c r="K322">
        <f t="shared" si="28"/>
        <v>4.4331436299092801E-2</v>
      </c>
      <c r="L322">
        <f t="shared" si="29"/>
        <v>0.55789323164918969</v>
      </c>
      <c r="M322">
        <f t="shared" si="30"/>
        <v>11.290610932475884</v>
      </c>
      <c r="N322">
        <f t="shared" si="31"/>
        <v>2.423295114741213</v>
      </c>
      <c r="O322">
        <f t="shared" si="32"/>
        <v>4997.7300000000005</v>
      </c>
      <c r="P322">
        <f t="shared" si="33"/>
        <v>58.733874635537674</v>
      </c>
      <c r="Q322" s="4" t="str">
        <f t="shared" si="34"/>
        <v>2025-05</v>
      </c>
    </row>
    <row r="323" spans="1:17" x14ac:dyDescent="0.3">
      <c r="A323" t="s">
        <v>331</v>
      </c>
      <c r="B323" s="2">
        <v>45757</v>
      </c>
      <c r="C323" t="s">
        <v>511</v>
      </c>
      <c r="D323" t="s">
        <v>517</v>
      </c>
      <c r="E323">
        <v>5725.07</v>
      </c>
      <c r="F323">
        <v>5075.8900000000003</v>
      </c>
      <c r="G323">
        <v>85169</v>
      </c>
      <c r="H323">
        <v>1524</v>
      </c>
      <c r="I323">
        <v>66</v>
      </c>
      <c r="J323">
        <v>2024.23</v>
      </c>
      <c r="K323">
        <f t="shared" ref="K323:K386" si="35">H323/G323</f>
        <v>1.7893834611184822E-2</v>
      </c>
      <c r="L323">
        <f t="shared" ref="L323:L386" si="36">F323/H323</f>
        <v>3.3306364829396329</v>
      </c>
      <c r="M323">
        <f t="shared" ref="M323:M386" si="37">F323/I323</f>
        <v>76.907424242424241</v>
      </c>
      <c r="N323">
        <f t="shared" ref="N323:N386" si="38">J323/F323</f>
        <v>0.39879311805417372</v>
      </c>
      <c r="O323">
        <f t="shared" ref="O323:O386" si="39">J323-F323</f>
        <v>-3051.6600000000003</v>
      </c>
      <c r="P323">
        <f t="shared" ref="P323:P386" si="40">(O323/J323)*100</f>
        <v>-150.75658398502148</v>
      </c>
      <c r="Q323" s="4" t="str">
        <f t="shared" ref="Q323:Q386" si="41">TEXT(B323,"yyyy-mm")</f>
        <v>2025-04</v>
      </c>
    </row>
    <row r="324" spans="1:17" x14ac:dyDescent="0.3">
      <c r="A324" t="s">
        <v>332</v>
      </c>
      <c r="B324" s="2">
        <v>45760</v>
      </c>
      <c r="C324" t="s">
        <v>514</v>
      </c>
      <c r="D324" t="s">
        <v>518</v>
      </c>
      <c r="E324">
        <v>8033.32</v>
      </c>
      <c r="F324">
        <v>7142.72</v>
      </c>
      <c r="G324">
        <v>75206</v>
      </c>
      <c r="H324">
        <v>1081</v>
      </c>
      <c r="I324">
        <v>182</v>
      </c>
      <c r="J324">
        <v>6732.57</v>
      </c>
      <c r="K324">
        <f t="shared" si="35"/>
        <v>1.4373853150014626E-2</v>
      </c>
      <c r="L324">
        <f t="shared" si="36"/>
        <v>6.607511563367253</v>
      </c>
      <c r="M324">
        <f t="shared" si="37"/>
        <v>39.245714285714286</v>
      </c>
      <c r="N324">
        <f t="shared" si="38"/>
        <v>0.94257789749563181</v>
      </c>
      <c r="O324">
        <f t="shared" si="39"/>
        <v>-410.15000000000055</v>
      </c>
      <c r="P324">
        <f t="shared" si="40"/>
        <v>-6.0920272644770206</v>
      </c>
      <c r="Q324" s="4" t="str">
        <f t="shared" si="41"/>
        <v>2025-04</v>
      </c>
    </row>
    <row r="325" spans="1:17" x14ac:dyDescent="0.3">
      <c r="A325" t="s">
        <v>333</v>
      </c>
      <c r="B325" s="2">
        <v>45688</v>
      </c>
      <c r="C325" t="s">
        <v>511</v>
      </c>
      <c r="D325" t="s">
        <v>518</v>
      </c>
      <c r="E325">
        <v>6332.35</v>
      </c>
      <c r="F325">
        <v>6326.66</v>
      </c>
      <c r="G325">
        <v>185576</v>
      </c>
      <c r="H325">
        <v>8158</v>
      </c>
      <c r="I325">
        <v>162</v>
      </c>
      <c r="J325">
        <v>7792.99</v>
      </c>
      <c r="K325">
        <f t="shared" si="35"/>
        <v>4.3960425917144455E-2</v>
      </c>
      <c r="L325">
        <f t="shared" si="36"/>
        <v>0.77551605785731792</v>
      </c>
      <c r="M325">
        <f t="shared" si="37"/>
        <v>39.053456790123455</v>
      </c>
      <c r="N325">
        <f t="shared" si="38"/>
        <v>1.2317700018651232</v>
      </c>
      <c r="O325">
        <f t="shared" si="39"/>
        <v>1466.33</v>
      </c>
      <c r="P325">
        <f t="shared" si="40"/>
        <v>18.816012852576485</v>
      </c>
      <c r="Q325" s="4" t="str">
        <f t="shared" si="41"/>
        <v>2025-01</v>
      </c>
    </row>
    <row r="326" spans="1:17" x14ac:dyDescent="0.3">
      <c r="A326" t="s">
        <v>334</v>
      </c>
      <c r="B326" s="2">
        <v>45647</v>
      </c>
      <c r="C326" t="s">
        <v>511</v>
      </c>
      <c r="D326" t="s">
        <v>517</v>
      </c>
      <c r="E326">
        <v>8128</v>
      </c>
      <c r="F326">
        <v>7026.51</v>
      </c>
      <c r="G326">
        <v>156872</v>
      </c>
      <c r="H326">
        <v>6177</v>
      </c>
      <c r="I326">
        <v>381</v>
      </c>
      <c r="J326">
        <v>7976.42</v>
      </c>
      <c r="K326">
        <f t="shared" si="35"/>
        <v>3.9376051812943035E-2</v>
      </c>
      <c r="L326">
        <f t="shared" si="36"/>
        <v>1.1375279261777562</v>
      </c>
      <c r="M326">
        <f t="shared" si="37"/>
        <v>18.44228346456693</v>
      </c>
      <c r="N326">
        <f t="shared" si="38"/>
        <v>1.1351894468235297</v>
      </c>
      <c r="O326">
        <f t="shared" si="39"/>
        <v>949.90999999999985</v>
      </c>
      <c r="P326">
        <f t="shared" si="40"/>
        <v>11.90897670884933</v>
      </c>
      <c r="Q326" s="4" t="str">
        <f t="shared" si="41"/>
        <v>2024-12</v>
      </c>
    </row>
    <row r="327" spans="1:17" x14ac:dyDescent="0.3">
      <c r="A327" t="s">
        <v>335</v>
      </c>
      <c r="B327" s="2">
        <v>45747</v>
      </c>
      <c r="C327" t="s">
        <v>512</v>
      </c>
      <c r="D327" t="s">
        <v>516</v>
      </c>
      <c r="E327">
        <v>4835.8500000000004</v>
      </c>
      <c r="F327">
        <v>4731.99</v>
      </c>
      <c r="G327">
        <v>115212</v>
      </c>
      <c r="H327">
        <v>2331</v>
      </c>
      <c r="I327">
        <v>196</v>
      </c>
      <c r="J327">
        <v>4222.38</v>
      </c>
      <c r="K327">
        <f t="shared" si="35"/>
        <v>2.023226747213832E-2</v>
      </c>
      <c r="L327">
        <f t="shared" si="36"/>
        <v>2.03002574002574</v>
      </c>
      <c r="M327">
        <f t="shared" si="37"/>
        <v>24.142806122448977</v>
      </c>
      <c r="N327">
        <f t="shared" si="38"/>
        <v>0.89230535144833367</v>
      </c>
      <c r="O327">
        <f t="shared" si="39"/>
        <v>-509.60999999999967</v>
      </c>
      <c r="P327">
        <f t="shared" si="40"/>
        <v>-12.069259517144351</v>
      </c>
      <c r="Q327" s="4" t="str">
        <f t="shared" si="41"/>
        <v>2025-03</v>
      </c>
    </row>
    <row r="328" spans="1:17" x14ac:dyDescent="0.3">
      <c r="A328" t="s">
        <v>336</v>
      </c>
      <c r="B328" s="2">
        <v>45711</v>
      </c>
      <c r="C328" t="s">
        <v>510</v>
      </c>
      <c r="D328" t="s">
        <v>518</v>
      </c>
      <c r="E328">
        <v>6474.56</v>
      </c>
      <c r="F328">
        <v>6338.94</v>
      </c>
      <c r="G328">
        <v>106540</v>
      </c>
      <c r="H328">
        <v>3157</v>
      </c>
      <c r="I328">
        <v>459</v>
      </c>
      <c r="J328">
        <v>13782.54</v>
      </c>
      <c r="K328">
        <f t="shared" si="35"/>
        <v>2.9632063074901446E-2</v>
      </c>
      <c r="L328">
        <f t="shared" si="36"/>
        <v>2.0078999049730757</v>
      </c>
      <c r="M328">
        <f t="shared" si="37"/>
        <v>13.810326797385621</v>
      </c>
      <c r="N328">
        <f t="shared" si="38"/>
        <v>2.1742657289704592</v>
      </c>
      <c r="O328">
        <f t="shared" si="39"/>
        <v>7443.6000000000013</v>
      </c>
      <c r="P328">
        <f t="shared" si="40"/>
        <v>54.007461614477457</v>
      </c>
      <c r="Q328" s="4" t="str">
        <f t="shared" si="41"/>
        <v>2025-02</v>
      </c>
    </row>
    <row r="329" spans="1:17" x14ac:dyDescent="0.3">
      <c r="A329" t="s">
        <v>337</v>
      </c>
      <c r="B329" s="2">
        <v>45640</v>
      </c>
      <c r="C329" t="s">
        <v>511</v>
      </c>
      <c r="D329" t="s">
        <v>516</v>
      </c>
      <c r="E329">
        <v>8396.39</v>
      </c>
      <c r="F329">
        <v>6985.62</v>
      </c>
      <c r="G329">
        <v>110667</v>
      </c>
      <c r="H329">
        <v>2560</v>
      </c>
      <c r="I329">
        <v>409</v>
      </c>
      <c r="J329">
        <v>9101.94</v>
      </c>
      <c r="K329">
        <f t="shared" si="35"/>
        <v>2.3132460444396253E-2</v>
      </c>
      <c r="L329">
        <f t="shared" si="36"/>
        <v>2.7287578125</v>
      </c>
      <c r="M329">
        <f t="shared" si="37"/>
        <v>17.079755501222493</v>
      </c>
      <c r="N329">
        <f t="shared" si="38"/>
        <v>1.3029537821982875</v>
      </c>
      <c r="O329">
        <f t="shared" si="39"/>
        <v>2116.3200000000006</v>
      </c>
      <c r="P329">
        <f t="shared" si="40"/>
        <v>23.251306864250925</v>
      </c>
      <c r="Q329" s="4" t="str">
        <f t="shared" si="41"/>
        <v>2024-12</v>
      </c>
    </row>
    <row r="330" spans="1:17" x14ac:dyDescent="0.3">
      <c r="A330" t="s">
        <v>338</v>
      </c>
      <c r="B330" s="2">
        <v>45798</v>
      </c>
      <c r="C330" t="s">
        <v>513</v>
      </c>
      <c r="D330" t="s">
        <v>517</v>
      </c>
      <c r="E330">
        <v>8097.32</v>
      </c>
      <c r="F330">
        <v>7681.5</v>
      </c>
      <c r="G330">
        <v>76558</v>
      </c>
      <c r="H330">
        <v>2247</v>
      </c>
      <c r="I330">
        <v>275</v>
      </c>
      <c r="J330">
        <v>11179.32</v>
      </c>
      <c r="K330">
        <f t="shared" si="35"/>
        <v>2.9350296507223282E-2</v>
      </c>
      <c r="L330">
        <f t="shared" si="36"/>
        <v>3.418558077436582</v>
      </c>
      <c r="M330">
        <f t="shared" si="37"/>
        <v>27.932727272727274</v>
      </c>
      <c r="N330">
        <f t="shared" si="38"/>
        <v>1.4553563757078696</v>
      </c>
      <c r="O330">
        <f t="shared" si="39"/>
        <v>3497.8199999999997</v>
      </c>
      <c r="P330">
        <f t="shared" si="40"/>
        <v>31.288307338907913</v>
      </c>
      <c r="Q330" s="4" t="str">
        <f t="shared" si="41"/>
        <v>2025-05</v>
      </c>
    </row>
    <row r="331" spans="1:17" x14ac:dyDescent="0.3">
      <c r="A331" t="s">
        <v>339</v>
      </c>
      <c r="B331" s="2">
        <v>45647</v>
      </c>
      <c r="C331" t="s">
        <v>511</v>
      </c>
      <c r="D331" t="s">
        <v>518</v>
      </c>
      <c r="E331">
        <v>6043.79</v>
      </c>
      <c r="F331">
        <v>5281.79</v>
      </c>
      <c r="G331">
        <v>83532</v>
      </c>
      <c r="H331">
        <v>3585</v>
      </c>
      <c r="I331">
        <v>478</v>
      </c>
      <c r="J331">
        <v>21305.93</v>
      </c>
      <c r="K331">
        <f t="shared" si="35"/>
        <v>4.2917684240770006E-2</v>
      </c>
      <c r="L331">
        <f t="shared" si="36"/>
        <v>1.4733026499302651</v>
      </c>
      <c r="M331">
        <f t="shared" si="37"/>
        <v>11.049769874476988</v>
      </c>
      <c r="N331">
        <f t="shared" si="38"/>
        <v>4.0338464800758835</v>
      </c>
      <c r="O331">
        <f t="shared" si="39"/>
        <v>16024.14</v>
      </c>
      <c r="P331">
        <f t="shared" si="40"/>
        <v>75.20976554414662</v>
      </c>
      <c r="Q331" s="4" t="str">
        <f t="shared" si="41"/>
        <v>2024-12</v>
      </c>
    </row>
    <row r="332" spans="1:17" x14ac:dyDescent="0.3">
      <c r="A332" t="s">
        <v>340</v>
      </c>
      <c r="B332" s="2">
        <v>45695</v>
      </c>
      <c r="C332" t="s">
        <v>510</v>
      </c>
      <c r="D332" t="s">
        <v>516</v>
      </c>
      <c r="E332">
        <v>8595.91</v>
      </c>
      <c r="F332">
        <v>8668.19</v>
      </c>
      <c r="G332">
        <v>149998</v>
      </c>
      <c r="H332">
        <v>5998</v>
      </c>
      <c r="I332">
        <v>629</v>
      </c>
      <c r="J332">
        <v>17715.38</v>
      </c>
      <c r="K332">
        <f t="shared" si="35"/>
        <v>3.9987199829331056E-2</v>
      </c>
      <c r="L332">
        <f t="shared" si="36"/>
        <v>1.4451800600200067</v>
      </c>
      <c r="M332">
        <f t="shared" si="37"/>
        <v>13.780906200317967</v>
      </c>
      <c r="N332">
        <f t="shared" si="38"/>
        <v>2.0437230840579175</v>
      </c>
      <c r="O332">
        <f t="shared" si="39"/>
        <v>9047.19</v>
      </c>
      <c r="P332">
        <f t="shared" si="40"/>
        <v>51.069691985156396</v>
      </c>
      <c r="Q332" s="4" t="str">
        <f t="shared" si="41"/>
        <v>2025-02</v>
      </c>
    </row>
    <row r="333" spans="1:17" x14ac:dyDescent="0.3">
      <c r="A333" t="s">
        <v>341</v>
      </c>
      <c r="B333" s="2">
        <v>45737</v>
      </c>
      <c r="C333" t="s">
        <v>511</v>
      </c>
      <c r="D333" t="s">
        <v>515</v>
      </c>
      <c r="E333">
        <v>7131.61</v>
      </c>
      <c r="F333">
        <v>6477.59</v>
      </c>
      <c r="G333">
        <v>171861</v>
      </c>
      <c r="H333">
        <v>2743</v>
      </c>
      <c r="I333">
        <v>78</v>
      </c>
      <c r="J333">
        <v>1774.3</v>
      </c>
      <c r="K333">
        <f t="shared" si="35"/>
        <v>1.5960572788474407E-2</v>
      </c>
      <c r="L333">
        <f t="shared" si="36"/>
        <v>2.3614983594604446</v>
      </c>
      <c r="M333">
        <f t="shared" si="37"/>
        <v>83.046025641025636</v>
      </c>
      <c r="N333">
        <f t="shared" si="38"/>
        <v>0.27391360058293285</v>
      </c>
      <c r="O333">
        <f t="shared" si="39"/>
        <v>-4703.29</v>
      </c>
      <c r="P333">
        <f t="shared" si="40"/>
        <v>-265.07862255537395</v>
      </c>
      <c r="Q333" s="4" t="str">
        <f t="shared" si="41"/>
        <v>2025-03</v>
      </c>
    </row>
    <row r="334" spans="1:17" x14ac:dyDescent="0.3">
      <c r="A334" t="s">
        <v>342</v>
      </c>
      <c r="B334" s="2">
        <v>45725</v>
      </c>
      <c r="C334" t="s">
        <v>511</v>
      </c>
      <c r="D334" t="s">
        <v>516</v>
      </c>
      <c r="E334">
        <v>9421.2000000000007</v>
      </c>
      <c r="F334">
        <v>7923.66</v>
      </c>
      <c r="G334">
        <v>111608</v>
      </c>
      <c r="H334">
        <v>4858</v>
      </c>
      <c r="I334">
        <v>347</v>
      </c>
      <c r="J334">
        <v>16831.97</v>
      </c>
      <c r="K334">
        <f t="shared" si="35"/>
        <v>4.3527345709984948E-2</v>
      </c>
      <c r="L334">
        <f t="shared" si="36"/>
        <v>1.631053931659119</v>
      </c>
      <c r="M334">
        <f t="shared" si="37"/>
        <v>22.834755043227666</v>
      </c>
      <c r="N334">
        <f t="shared" si="38"/>
        <v>2.1242670685011724</v>
      </c>
      <c r="O334">
        <f t="shared" si="39"/>
        <v>8908.3100000000013</v>
      </c>
      <c r="P334">
        <f t="shared" si="40"/>
        <v>52.924939861466015</v>
      </c>
      <c r="Q334" s="4" t="str">
        <f t="shared" si="41"/>
        <v>2025-03</v>
      </c>
    </row>
    <row r="335" spans="1:17" x14ac:dyDescent="0.3">
      <c r="A335" t="s">
        <v>343</v>
      </c>
      <c r="B335" s="2">
        <v>45777</v>
      </c>
      <c r="C335" t="s">
        <v>511</v>
      </c>
      <c r="D335" t="s">
        <v>517</v>
      </c>
      <c r="E335">
        <v>6122.04</v>
      </c>
      <c r="F335">
        <v>5237.6499999999996</v>
      </c>
      <c r="G335">
        <v>115362</v>
      </c>
      <c r="H335">
        <v>2448</v>
      </c>
      <c r="I335">
        <v>149</v>
      </c>
      <c r="J335">
        <v>5402.3</v>
      </c>
      <c r="K335">
        <f t="shared" si="35"/>
        <v>2.1220159151193633E-2</v>
      </c>
      <c r="L335">
        <f t="shared" si="36"/>
        <v>2.1395629084967318</v>
      </c>
      <c r="M335">
        <f t="shared" si="37"/>
        <v>35.15201342281879</v>
      </c>
      <c r="N335">
        <f t="shared" si="38"/>
        <v>1.0314358538657604</v>
      </c>
      <c r="O335">
        <f t="shared" si="39"/>
        <v>164.65000000000055</v>
      </c>
      <c r="P335">
        <f t="shared" si="40"/>
        <v>3.0477759472817234</v>
      </c>
      <c r="Q335" s="4" t="str">
        <f t="shared" si="41"/>
        <v>2025-04</v>
      </c>
    </row>
    <row r="336" spans="1:17" x14ac:dyDescent="0.3">
      <c r="A336" t="s">
        <v>344</v>
      </c>
      <c r="B336" s="2">
        <v>45794</v>
      </c>
      <c r="C336" t="s">
        <v>511</v>
      </c>
      <c r="D336" t="s">
        <v>516</v>
      </c>
      <c r="E336">
        <v>9110.6200000000008</v>
      </c>
      <c r="F336">
        <v>9289.7999999999993</v>
      </c>
      <c r="G336">
        <v>166037</v>
      </c>
      <c r="H336">
        <v>1929</v>
      </c>
      <c r="I336">
        <v>275</v>
      </c>
      <c r="J336">
        <v>12154.13</v>
      </c>
      <c r="K336">
        <f t="shared" si="35"/>
        <v>1.161789239747767E-2</v>
      </c>
      <c r="L336">
        <f t="shared" si="36"/>
        <v>4.8158631415241056</v>
      </c>
      <c r="M336">
        <f t="shared" si="37"/>
        <v>33.781090909090906</v>
      </c>
      <c r="N336">
        <f t="shared" si="38"/>
        <v>1.3083306422097354</v>
      </c>
      <c r="O336">
        <f t="shared" si="39"/>
        <v>2864.33</v>
      </c>
      <c r="P336">
        <f t="shared" si="40"/>
        <v>23.566721764536005</v>
      </c>
      <c r="Q336" s="4" t="str">
        <f t="shared" si="41"/>
        <v>2025-05</v>
      </c>
    </row>
    <row r="337" spans="1:17" x14ac:dyDescent="0.3">
      <c r="A337" t="s">
        <v>345</v>
      </c>
      <c r="B337" s="2">
        <v>45793</v>
      </c>
      <c r="C337" t="s">
        <v>510</v>
      </c>
      <c r="D337" t="s">
        <v>517</v>
      </c>
      <c r="E337">
        <v>7611.48</v>
      </c>
      <c r="F337">
        <v>7669.96</v>
      </c>
      <c r="G337">
        <v>116079</v>
      </c>
      <c r="H337">
        <v>3243</v>
      </c>
      <c r="I337">
        <v>205</v>
      </c>
      <c r="J337">
        <v>9322.5499999999993</v>
      </c>
      <c r="K337">
        <f t="shared" si="35"/>
        <v>2.7937869898948132E-2</v>
      </c>
      <c r="L337">
        <f t="shared" si="36"/>
        <v>2.3650817144619181</v>
      </c>
      <c r="M337">
        <f t="shared" si="37"/>
        <v>37.414439024390241</v>
      </c>
      <c r="N337">
        <f t="shared" si="38"/>
        <v>1.2154626621260083</v>
      </c>
      <c r="O337">
        <f t="shared" si="39"/>
        <v>1652.5899999999992</v>
      </c>
      <c r="P337">
        <f t="shared" si="40"/>
        <v>17.726802216131844</v>
      </c>
      <c r="Q337" s="4" t="str">
        <f t="shared" si="41"/>
        <v>2025-05</v>
      </c>
    </row>
    <row r="338" spans="1:17" x14ac:dyDescent="0.3">
      <c r="A338" t="s">
        <v>346</v>
      </c>
      <c r="B338" s="2">
        <v>45685</v>
      </c>
      <c r="C338" t="s">
        <v>510</v>
      </c>
      <c r="D338" t="s">
        <v>518</v>
      </c>
      <c r="E338">
        <v>4747.68</v>
      </c>
      <c r="F338">
        <v>4495.2299999999996</v>
      </c>
      <c r="G338">
        <v>67946</v>
      </c>
      <c r="H338">
        <v>1270</v>
      </c>
      <c r="I338">
        <v>110</v>
      </c>
      <c r="J338">
        <v>2929.99</v>
      </c>
      <c r="K338">
        <f t="shared" si="35"/>
        <v>1.869131369028346E-2</v>
      </c>
      <c r="L338">
        <f t="shared" si="36"/>
        <v>3.5395511811023619</v>
      </c>
      <c r="M338">
        <f t="shared" si="37"/>
        <v>40.86572727272727</v>
      </c>
      <c r="N338">
        <f t="shared" si="38"/>
        <v>0.65179979667336263</v>
      </c>
      <c r="O338">
        <f t="shared" si="39"/>
        <v>-1565.2399999999998</v>
      </c>
      <c r="P338">
        <f t="shared" si="40"/>
        <v>-53.421342734958131</v>
      </c>
      <c r="Q338" s="4" t="str">
        <f t="shared" si="41"/>
        <v>2025-01</v>
      </c>
    </row>
    <row r="339" spans="1:17" x14ac:dyDescent="0.3">
      <c r="A339" t="s">
        <v>347</v>
      </c>
      <c r="B339" s="2">
        <v>45637</v>
      </c>
      <c r="C339" t="s">
        <v>512</v>
      </c>
      <c r="D339" t="s">
        <v>515</v>
      </c>
      <c r="E339">
        <v>9913.68</v>
      </c>
      <c r="F339">
        <v>10738.67</v>
      </c>
      <c r="G339">
        <v>123947</v>
      </c>
      <c r="H339">
        <v>4068</v>
      </c>
      <c r="I339">
        <v>400</v>
      </c>
      <c r="J339">
        <v>8473.1200000000008</v>
      </c>
      <c r="K339">
        <f t="shared" si="35"/>
        <v>3.2820479721171143E-2</v>
      </c>
      <c r="L339">
        <f t="shared" si="36"/>
        <v>2.6397910521140608</v>
      </c>
      <c r="M339">
        <f t="shared" si="37"/>
        <v>26.846675000000001</v>
      </c>
      <c r="N339">
        <f t="shared" si="38"/>
        <v>0.78902880896796357</v>
      </c>
      <c r="O339">
        <f t="shared" si="39"/>
        <v>-2265.5499999999993</v>
      </c>
      <c r="P339">
        <f t="shared" si="40"/>
        <v>-26.738084672470109</v>
      </c>
      <c r="Q339" s="4" t="str">
        <f t="shared" si="41"/>
        <v>2024-12</v>
      </c>
    </row>
    <row r="340" spans="1:17" x14ac:dyDescent="0.3">
      <c r="A340" t="s">
        <v>348</v>
      </c>
      <c r="B340" s="2">
        <v>45788</v>
      </c>
      <c r="C340" t="s">
        <v>514</v>
      </c>
      <c r="D340" t="s">
        <v>515</v>
      </c>
      <c r="E340">
        <v>7939.03</v>
      </c>
      <c r="F340">
        <v>8554.9</v>
      </c>
      <c r="G340">
        <v>68639</v>
      </c>
      <c r="H340">
        <v>3348</v>
      </c>
      <c r="I340">
        <v>275</v>
      </c>
      <c r="J340">
        <v>6989.75</v>
      </c>
      <c r="K340">
        <f t="shared" si="35"/>
        <v>4.8776934395897378E-2</v>
      </c>
      <c r="L340">
        <f t="shared" si="36"/>
        <v>2.5552270011947429</v>
      </c>
      <c r="M340">
        <f t="shared" si="37"/>
        <v>31.108727272727272</v>
      </c>
      <c r="N340">
        <f t="shared" si="38"/>
        <v>0.81704637108557676</v>
      </c>
      <c r="O340">
        <f t="shared" si="39"/>
        <v>-1565.1499999999996</v>
      </c>
      <c r="P340">
        <f t="shared" si="40"/>
        <v>-22.392074108516034</v>
      </c>
      <c r="Q340" s="4" t="str">
        <f t="shared" si="41"/>
        <v>2025-05</v>
      </c>
    </row>
    <row r="341" spans="1:17" x14ac:dyDescent="0.3">
      <c r="A341" t="s">
        <v>349</v>
      </c>
      <c r="B341" s="2">
        <v>45664</v>
      </c>
      <c r="C341" t="s">
        <v>513</v>
      </c>
      <c r="D341" t="s">
        <v>516</v>
      </c>
      <c r="E341">
        <v>6975.62</v>
      </c>
      <c r="F341">
        <v>7496.33</v>
      </c>
      <c r="G341">
        <v>158533</v>
      </c>
      <c r="H341">
        <v>6076</v>
      </c>
      <c r="I341">
        <v>478</v>
      </c>
      <c r="J341">
        <v>10046.790000000001</v>
      </c>
      <c r="K341">
        <f t="shared" si="35"/>
        <v>3.8326405227933617E-2</v>
      </c>
      <c r="L341">
        <f t="shared" si="36"/>
        <v>1.2337606978275182</v>
      </c>
      <c r="M341">
        <f t="shared" si="37"/>
        <v>15.682698744769874</v>
      </c>
      <c r="N341">
        <f t="shared" si="38"/>
        <v>1.3402278181456795</v>
      </c>
      <c r="O341">
        <f t="shared" si="39"/>
        <v>2550.4600000000009</v>
      </c>
      <c r="P341">
        <f t="shared" si="40"/>
        <v>25.385819749392603</v>
      </c>
      <c r="Q341" s="4" t="str">
        <f t="shared" si="41"/>
        <v>2025-01</v>
      </c>
    </row>
    <row r="342" spans="1:17" x14ac:dyDescent="0.3">
      <c r="A342" t="s">
        <v>350</v>
      </c>
      <c r="B342" s="2">
        <v>45763</v>
      </c>
      <c r="C342" t="s">
        <v>511</v>
      </c>
      <c r="D342" t="s">
        <v>515</v>
      </c>
      <c r="E342">
        <v>7881.94</v>
      </c>
      <c r="F342">
        <v>7008.66</v>
      </c>
      <c r="G342">
        <v>74923</v>
      </c>
      <c r="H342">
        <v>3598</v>
      </c>
      <c r="I342">
        <v>369</v>
      </c>
      <c r="J342">
        <v>17613.07</v>
      </c>
      <c r="K342">
        <f t="shared" si="35"/>
        <v>4.8022636573548841E-2</v>
      </c>
      <c r="L342">
        <f t="shared" si="36"/>
        <v>1.9479321845469706</v>
      </c>
      <c r="M342">
        <f t="shared" si="37"/>
        <v>18.993658536585365</v>
      </c>
      <c r="N342">
        <f t="shared" si="38"/>
        <v>2.5130438628782108</v>
      </c>
      <c r="O342">
        <f t="shared" si="39"/>
        <v>10604.41</v>
      </c>
      <c r="P342">
        <f t="shared" si="40"/>
        <v>60.207618546908627</v>
      </c>
      <c r="Q342" s="4" t="str">
        <f t="shared" si="41"/>
        <v>2025-04</v>
      </c>
    </row>
    <row r="343" spans="1:17" x14ac:dyDescent="0.3">
      <c r="A343" t="s">
        <v>351</v>
      </c>
      <c r="B343" s="2">
        <v>45784</v>
      </c>
      <c r="C343" t="s">
        <v>513</v>
      </c>
      <c r="D343" t="s">
        <v>517</v>
      </c>
      <c r="E343">
        <v>9797.41</v>
      </c>
      <c r="F343">
        <v>10613.34</v>
      </c>
      <c r="G343">
        <v>196954</v>
      </c>
      <c r="H343">
        <v>4588</v>
      </c>
      <c r="I343">
        <v>657</v>
      </c>
      <c r="J343">
        <v>22486.76</v>
      </c>
      <c r="K343">
        <f t="shared" si="35"/>
        <v>2.3294779491657952E-2</v>
      </c>
      <c r="L343">
        <f t="shared" si="36"/>
        <v>2.3132824760244115</v>
      </c>
      <c r="M343">
        <f t="shared" si="37"/>
        <v>16.154246575342466</v>
      </c>
      <c r="N343">
        <f t="shared" si="38"/>
        <v>2.1187260560765977</v>
      </c>
      <c r="O343">
        <f t="shared" si="39"/>
        <v>11873.419999999998</v>
      </c>
      <c r="P343">
        <f t="shared" si="40"/>
        <v>52.80182649701424</v>
      </c>
      <c r="Q343" s="4" t="str">
        <f t="shared" si="41"/>
        <v>2025-05</v>
      </c>
    </row>
    <row r="344" spans="1:17" x14ac:dyDescent="0.3">
      <c r="A344" t="s">
        <v>352</v>
      </c>
      <c r="B344" s="2">
        <v>45735</v>
      </c>
      <c r="C344" t="s">
        <v>512</v>
      </c>
      <c r="D344" t="s">
        <v>516</v>
      </c>
      <c r="E344">
        <v>9034.2999999999993</v>
      </c>
      <c r="F344">
        <v>9516.41</v>
      </c>
      <c r="G344">
        <v>103912</v>
      </c>
      <c r="H344">
        <v>1528</v>
      </c>
      <c r="I344">
        <v>148</v>
      </c>
      <c r="J344">
        <v>4376.8100000000004</v>
      </c>
      <c r="K344">
        <f t="shared" si="35"/>
        <v>1.4704750173223497E-2</v>
      </c>
      <c r="L344">
        <f t="shared" si="36"/>
        <v>6.228017015706806</v>
      </c>
      <c r="M344">
        <f t="shared" si="37"/>
        <v>64.300067567567567</v>
      </c>
      <c r="N344">
        <f t="shared" si="38"/>
        <v>0.45992238669834534</v>
      </c>
      <c r="O344">
        <f t="shared" si="39"/>
        <v>-5139.5999999999995</v>
      </c>
      <c r="P344">
        <f t="shared" si="40"/>
        <v>-117.42798979165188</v>
      </c>
      <c r="Q344" s="4" t="str">
        <f t="shared" si="41"/>
        <v>2025-03</v>
      </c>
    </row>
    <row r="345" spans="1:17" x14ac:dyDescent="0.3">
      <c r="A345" t="s">
        <v>353</v>
      </c>
      <c r="B345" s="2">
        <v>45656</v>
      </c>
      <c r="C345" t="s">
        <v>510</v>
      </c>
      <c r="D345" t="s">
        <v>517</v>
      </c>
      <c r="E345">
        <v>8802.41</v>
      </c>
      <c r="F345">
        <v>7139.65</v>
      </c>
      <c r="G345">
        <v>135367</v>
      </c>
      <c r="H345">
        <v>1109</v>
      </c>
      <c r="I345">
        <v>182</v>
      </c>
      <c r="J345">
        <v>6895.63</v>
      </c>
      <c r="K345">
        <f t="shared" si="35"/>
        <v>8.1925432343185559E-3</v>
      </c>
      <c r="L345">
        <f t="shared" si="36"/>
        <v>6.4379170423805228</v>
      </c>
      <c r="M345">
        <f t="shared" si="37"/>
        <v>39.228846153846149</v>
      </c>
      <c r="N345">
        <f t="shared" si="38"/>
        <v>0.96582185401245169</v>
      </c>
      <c r="O345">
        <f t="shared" si="39"/>
        <v>-244.01999999999953</v>
      </c>
      <c r="P345">
        <f t="shared" si="40"/>
        <v>-3.5387629556690183</v>
      </c>
      <c r="Q345" s="4" t="str">
        <f t="shared" si="41"/>
        <v>2024-12</v>
      </c>
    </row>
    <row r="346" spans="1:17" x14ac:dyDescent="0.3">
      <c r="A346" t="s">
        <v>354</v>
      </c>
      <c r="B346" s="2">
        <v>45753</v>
      </c>
      <c r="C346" t="s">
        <v>512</v>
      </c>
      <c r="D346" t="s">
        <v>518</v>
      </c>
      <c r="E346">
        <v>4610.0600000000004</v>
      </c>
      <c r="F346">
        <v>3854.79</v>
      </c>
      <c r="G346">
        <v>154277</v>
      </c>
      <c r="H346">
        <v>3322</v>
      </c>
      <c r="I346">
        <v>278</v>
      </c>
      <c r="J346">
        <v>6201.79</v>
      </c>
      <c r="K346">
        <f t="shared" si="35"/>
        <v>2.1532697680146748E-2</v>
      </c>
      <c r="L346">
        <f t="shared" si="36"/>
        <v>1.160382299819386</v>
      </c>
      <c r="M346">
        <f t="shared" si="37"/>
        <v>13.86615107913669</v>
      </c>
      <c r="N346">
        <f t="shared" si="38"/>
        <v>1.6088528817393424</v>
      </c>
      <c r="O346">
        <f t="shared" si="39"/>
        <v>2347</v>
      </c>
      <c r="P346">
        <f t="shared" si="40"/>
        <v>37.843912805818967</v>
      </c>
      <c r="Q346" s="4" t="str">
        <f t="shared" si="41"/>
        <v>2025-04</v>
      </c>
    </row>
    <row r="347" spans="1:17" x14ac:dyDescent="0.3">
      <c r="A347" t="s">
        <v>355</v>
      </c>
      <c r="B347" s="2">
        <v>45707</v>
      </c>
      <c r="C347" t="s">
        <v>512</v>
      </c>
      <c r="D347" t="s">
        <v>518</v>
      </c>
      <c r="E347">
        <v>7874.02</v>
      </c>
      <c r="F347">
        <v>7102.07</v>
      </c>
      <c r="G347">
        <v>194871</v>
      </c>
      <c r="H347">
        <v>7907</v>
      </c>
      <c r="I347">
        <v>784</v>
      </c>
      <c r="J347">
        <v>32726.51</v>
      </c>
      <c r="K347">
        <f t="shared" si="35"/>
        <v>4.0575560242416778E-2</v>
      </c>
      <c r="L347">
        <f t="shared" si="36"/>
        <v>0.89820032882256229</v>
      </c>
      <c r="M347">
        <f t="shared" si="37"/>
        <v>9.0587627551020411</v>
      </c>
      <c r="N347">
        <f t="shared" si="38"/>
        <v>4.6080241394410359</v>
      </c>
      <c r="O347">
        <f t="shared" si="39"/>
        <v>25624.44</v>
      </c>
      <c r="P347">
        <f t="shared" si="40"/>
        <v>78.298724795280648</v>
      </c>
      <c r="Q347" s="4" t="str">
        <f t="shared" si="41"/>
        <v>2025-02</v>
      </c>
    </row>
    <row r="348" spans="1:17" x14ac:dyDescent="0.3">
      <c r="A348" t="s">
        <v>356</v>
      </c>
      <c r="B348" s="2">
        <v>45797</v>
      </c>
      <c r="C348" t="s">
        <v>511</v>
      </c>
      <c r="D348" t="s">
        <v>517</v>
      </c>
      <c r="E348">
        <v>3457.49</v>
      </c>
      <c r="F348">
        <v>3093.03</v>
      </c>
      <c r="G348">
        <v>57427</v>
      </c>
      <c r="H348">
        <v>1092</v>
      </c>
      <c r="I348">
        <v>199</v>
      </c>
      <c r="J348">
        <v>7200.76</v>
      </c>
      <c r="K348">
        <f t="shared" si="35"/>
        <v>1.9015445696275272E-2</v>
      </c>
      <c r="L348">
        <f t="shared" si="36"/>
        <v>2.8324450549450551</v>
      </c>
      <c r="M348">
        <f t="shared" si="37"/>
        <v>15.542864321608041</v>
      </c>
      <c r="N348">
        <f t="shared" si="38"/>
        <v>2.3280601869364346</v>
      </c>
      <c r="O348">
        <f t="shared" si="39"/>
        <v>4107.7299999999996</v>
      </c>
      <c r="P348">
        <f t="shared" si="40"/>
        <v>57.045784056127403</v>
      </c>
      <c r="Q348" s="4" t="str">
        <f t="shared" si="41"/>
        <v>2025-05</v>
      </c>
    </row>
    <row r="349" spans="1:17" x14ac:dyDescent="0.3">
      <c r="A349" t="s">
        <v>357</v>
      </c>
      <c r="B349" s="2">
        <v>45653</v>
      </c>
      <c r="C349" t="s">
        <v>510</v>
      </c>
      <c r="D349" t="s">
        <v>518</v>
      </c>
      <c r="E349">
        <v>8535.06</v>
      </c>
      <c r="F349">
        <v>7644.22</v>
      </c>
      <c r="G349">
        <v>192331</v>
      </c>
      <c r="H349">
        <v>2108</v>
      </c>
      <c r="I349">
        <v>210</v>
      </c>
      <c r="J349">
        <v>8143.12</v>
      </c>
      <c r="K349">
        <f t="shared" si="35"/>
        <v>1.0960271615080253E-2</v>
      </c>
      <c r="L349">
        <f t="shared" si="36"/>
        <v>3.6262903225806453</v>
      </c>
      <c r="M349">
        <f t="shared" si="37"/>
        <v>36.401047619047617</v>
      </c>
      <c r="N349">
        <f t="shared" si="38"/>
        <v>1.0652649976060342</v>
      </c>
      <c r="O349">
        <f t="shared" si="39"/>
        <v>498.89999999999964</v>
      </c>
      <c r="P349">
        <f t="shared" si="40"/>
        <v>6.1266443328846885</v>
      </c>
      <c r="Q349" s="4" t="str">
        <f t="shared" si="41"/>
        <v>2024-12</v>
      </c>
    </row>
    <row r="350" spans="1:17" x14ac:dyDescent="0.3">
      <c r="A350" t="s">
        <v>358</v>
      </c>
      <c r="B350" s="2">
        <v>45807</v>
      </c>
      <c r="C350" t="s">
        <v>511</v>
      </c>
      <c r="D350" t="s">
        <v>515</v>
      </c>
      <c r="E350">
        <v>9201.84</v>
      </c>
      <c r="F350">
        <v>9061.59</v>
      </c>
      <c r="G350">
        <v>66208</v>
      </c>
      <c r="H350">
        <v>2170</v>
      </c>
      <c r="I350">
        <v>345</v>
      </c>
      <c r="J350">
        <v>9311.1299999999992</v>
      </c>
      <c r="K350">
        <f t="shared" si="35"/>
        <v>3.2775495408409863E-2</v>
      </c>
      <c r="L350">
        <f t="shared" si="36"/>
        <v>4.1758479262672807</v>
      </c>
      <c r="M350">
        <f t="shared" si="37"/>
        <v>26.265478260869564</v>
      </c>
      <c r="N350">
        <f t="shared" si="38"/>
        <v>1.0275382134923341</v>
      </c>
      <c r="O350">
        <f t="shared" si="39"/>
        <v>249.53999999999905</v>
      </c>
      <c r="P350">
        <f t="shared" si="40"/>
        <v>2.680018429556875</v>
      </c>
      <c r="Q350" s="4" t="str">
        <f t="shared" si="41"/>
        <v>2025-05</v>
      </c>
    </row>
    <row r="351" spans="1:17" x14ac:dyDescent="0.3">
      <c r="A351" t="s">
        <v>359</v>
      </c>
      <c r="B351" s="2">
        <v>45726</v>
      </c>
      <c r="C351" t="s">
        <v>514</v>
      </c>
      <c r="D351" t="s">
        <v>518</v>
      </c>
      <c r="E351">
        <v>3170.81</v>
      </c>
      <c r="F351">
        <v>3364.32</v>
      </c>
      <c r="G351">
        <v>132053</v>
      </c>
      <c r="H351">
        <v>4867</v>
      </c>
      <c r="I351">
        <v>162</v>
      </c>
      <c r="J351">
        <v>3343.37</v>
      </c>
      <c r="K351">
        <f t="shared" si="35"/>
        <v>3.6856413712675971E-2</v>
      </c>
      <c r="L351">
        <f t="shared" si="36"/>
        <v>0.69125128415861936</v>
      </c>
      <c r="M351">
        <f t="shared" si="37"/>
        <v>20.767407407407408</v>
      </c>
      <c r="N351">
        <f t="shared" si="38"/>
        <v>0.99377288724021484</v>
      </c>
      <c r="O351">
        <f t="shared" si="39"/>
        <v>-20.950000000000273</v>
      </c>
      <c r="P351">
        <f t="shared" si="40"/>
        <v>-0.62661326745171109</v>
      </c>
      <c r="Q351" s="4" t="str">
        <f t="shared" si="41"/>
        <v>2025-03</v>
      </c>
    </row>
    <row r="352" spans="1:17" x14ac:dyDescent="0.3">
      <c r="A352" t="s">
        <v>360</v>
      </c>
      <c r="B352" s="2">
        <v>45745</v>
      </c>
      <c r="C352" t="s">
        <v>514</v>
      </c>
      <c r="D352" t="s">
        <v>515</v>
      </c>
      <c r="E352">
        <v>9122.91</v>
      </c>
      <c r="F352">
        <v>8745.9599999999991</v>
      </c>
      <c r="G352">
        <v>195707</v>
      </c>
      <c r="H352">
        <v>8454</v>
      </c>
      <c r="I352">
        <v>371</v>
      </c>
      <c r="J352">
        <v>17871.82</v>
      </c>
      <c r="K352">
        <f t="shared" si="35"/>
        <v>4.3197228509966427E-2</v>
      </c>
      <c r="L352">
        <f t="shared" si="36"/>
        <v>1.0345351312987934</v>
      </c>
      <c r="M352">
        <f t="shared" si="37"/>
        <v>23.574016172506735</v>
      </c>
      <c r="N352">
        <f t="shared" si="38"/>
        <v>2.0434371984321906</v>
      </c>
      <c r="O352">
        <f t="shared" si="39"/>
        <v>9125.86</v>
      </c>
      <c r="P352">
        <f t="shared" si="40"/>
        <v>51.062846425266152</v>
      </c>
      <c r="Q352" s="4" t="str">
        <f t="shared" si="41"/>
        <v>2025-03</v>
      </c>
    </row>
    <row r="353" spans="1:17" x14ac:dyDescent="0.3">
      <c r="A353" t="s">
        <v>361</v>
      </c>
      <c r="B353" s="2">
        <v>45776</v>
      </c>
      <c r="C353" t="s">
        <v>510</v>
      </c>
      <c r="D353" t="s">
        <v>518</v>
      </c>
      <c r="E353">
        <v>8591.48</v>
      </c>
      <c r="F353">
        <v>9445.2999999999993</v>
      </c>
      <c r="G353">
        <v>106946</v>
      </c>
      <c r="H353">
        <v>4278</v>
      </c>
      <c r="I353">
        <v>149</v>
      </c>
      <c r="J353">
        <v>4547.68</v>
      </c>
      <c r="K353">
        <f t="shared" si="35"/>
        <v>4.0001496082134907E-2</v>
      </c>
      <c r="L353">
        <f t="shared" si="36"/>
        <v>2.2078775128564749</v>
      </c>
      <c r="M353">
        <f t="shared" si="37"/>
        <v>63.391275167785231</v>
      </c>
      <c r="N353">
        <f t="shared" si="38"/>
        <v>0.48147544281282761</v>
      </c>
      <c r="O353">
        <f t="shared" si="39"/>
        <v>-4897.619999999999</v>
      </c>
      <c r="P353">
        <f t="shared" si="40"/>
        <v>-107.6949125708053</v>
      </c>
      <c r="Q353" s="4" t="str">
        <f t="shared" si="41"/>
        <v>2025-04</v>
      </c>
    </row>
    <row r="354" spans="1:17" x14ac:dyDescent="0.3">
      <c r="A354" t="s">
        <v>362</v>
      </c>
      <c r="B354" s="2">
        <v>45663</v>
      </c>
      <c r="C354" t="s">
        <v>510</v>
      </c>
      <c r="D354" t="s">
        <v>517</v>
      </c>
      <c r="E354">
        <v>8370.32</v>
      </c>
      <c r="F354">
        <v>7705.54</v>
      </c>
      <c r="G354">
        <v>170434</v>
      </c>
      <c r="H354">
        <v>6373</v>
      </c>
      <c r="I354">
        <v>533</v>
      </c>
      <c r="J354">
        <v>18333.21</v>
      </c>
      <c r="K354">
        <f t="shared" si="35"/>
        <v>3.7392773742328411E-2</v>
      </c>
      <c r="L354">
        <f t="shared" si="36"/>
        <v>1.2090914796798995</v>
      </c>
      <c r="M354">
        <f t="shared" si="37"/>
        <v>14.456923076923077</v>
      </c>
      <c r="N354">
        <f t="shared" si="38"/>
        <v>2.3792245579154736</v>
      </c>
      <c r="O354">
        <f t="shared" si="39"/>
        <v>10627.669999999998</v>
      </c>
      <c r="P354">
        <f t="shared" si="40"/>
        <v>57.969499067539175</v>
      </c>
      <c r="Q354" s="4" t="str">
        <f t="shared" si="41"/>
        <v>2025-01</v>
      </c>
    </row>
    <row r="355" spans="1:17" x14ac:dyDescent="0.3">
      <c r="A355" t="s">
        <v>363</v>
      </c>
      <c r="B355" s="2">
        <v>45642</v>
      </c>
      <c r="C355" t="s">
        <v>510</v>
      </c>
      <c r="D355" t="s">
        <v>518</v>
      </c>
      <c r="E355">
        <v>7392.54</v>
      </c>
      <c r="F355">
        <v>7851.64</v>
      </c>
      <c r="G355">
        <v>61724</v>
      </c>
      <c r="H355">
        <v>1074</v>
      </c>
      <c r="I355">
        <v>134</v>
      </c>
      <c r="J355">
        <v>6636.02</v>
      </c>
      <c r="K355">
        <f t="shared" si="35"/>
        <v>1.7400038882768452E-2</v>
      </c>
      <c r="L355">
        <f t="shared" si="36"/>
        <v>7.3106517690875235</v>
      </c>
      <c r="M355">
        <f t="shared" si="37"/>
        <v>58.594328358208955</v>
      </c>
      <c r="N355">
        <f t="shared" si="38"/>
        <v>0.84517629437926345</v>
      </c>
      <c r="O355">
        <f t="shared" si="39"/>
        <v>-1215.6199999999999</v>
      </c>
      <c r="P355">
        <f t="shared" si="40"/>
        <v>-18.318510191349631</v>
      </c>
      <c r="Q355" s="4" t="str">
        <f t="shared" si="41"/>
        <v>2024-12</v>
      </c>
    </row>
    <row r="356" spans="1:17" x14ac:dyDescent="0.3">
      <c r="A356" t="s">
        <v>364</v>
      </c>
      <c r="B356" s="2">
        <v>45767</v>
      </c>
      <c r="C356" t="s">
        <v>514</v>
      </c>
      <c r="D356" t="s">
        <v>518</v>
      </c>
      <c r="E356">
        <v>8377.91</v>
      </c>
      <c r="F356">
        <v>7752.33</v>
      </c>
      <c r="G356">
        <v>194762</v>
      </c>
      <c r="H356">
        <v>1009</v>
      </c>
      <c r="I356">
        <v>129</v>
      </c>
      <c r="J356">
        <v>4210.6499999999996</v>
      </c>
      <c r="K356">
        <f t="shared" si="35"/>
        <v>5.1806820632361548E-3</v>
      </c>
      <c r="L356">
        <f t="shared" si="36"/>
        <v>7.683181367690783</v>
      </c>
      <c r="M356">
        <f t="shared" si="37"/>
        <v>60.095581395348837</v>
      </c>
      <c r="N356">
        <f t="shared" si="38"/>
        <v>0.54314638308740726</v>
      </c>
      <c r="O356">
        <f t="shared" si="39"/>
        <v>-3541.6800000000003</v>
      </c>
      <c r="P356">
        <f t="shared" si="40"/>
        <v>-84.112429197392331</v>
      </c>
      <c r="Q356" s="4" t="str">
        <f t="shared" si="41"/>
        <v>2025-04</v>
      </c>
    </row>
    <row r="357" spans="1:17" x14ac:dyDescent="0.3">
      <c r="A357" t="s">
        <v>365</v>
      </c>
      <c r="B357" s="2">
        <v>45685</v>
      </c>
      <c r="C357" t="s">
        <v>512</v>
      </c>
      <c r="D357" t="s">
        <v>517</v>
      </c>
      <c r="E357">
        <v>8163.08</v>
      </c>
      <c r="F357">
        <v>7115.21</v>
      </c>
      <c r="G357">
        <v>188259</v>
      </c>
      <c r="H357">
        <v>3527</v>
      </c>
      <c r="I357">
        <v>426</v>
      </c>
      <c r="J357">
        <v>9931.86</v>
      </c>
      <c r="K357">
        <f t="shared" si="35"/>
        <v>1.8734828082588348E-2</v>
      </c>
      <c r="L357">
        <f t="shared" si="36"/>
        <v>2.0173546923731216</v>
      </c>
      <c r="M357">
        <f t="shared" si="37"/>
        <v>16.702370892018781</v>
      </c>
      <c r="N357">
        <f t="shared" si="38"/>
        <v>1.3958632282111141</v>
      </c>
      <c r="O357">
        <f t="shared" si="39"/>
        <v>2816.6500000000005</v>
      </c>
      <c r="P357">
        <f t="shared" si="40"/>
        <v>28.359743290783403</v>
      </c>
      <c r="Q357" s="4" t="str">
        <f t="shared" si="41"/>
        <v>2025-01</v>
      </c>
    </row>
    <row r="358" spans="1:17" x14ac:dyDescent="0.3">
      <c r="A358" t="s">
        <v>366</v>
      </c>
      <c r="B358" s="2">
        <v>45818</v>
      </c>
      <c r="C358" t="s">
        <v>510</v>
      </c>
      <c r="D358" t="s">
        <v>515</v>
      </c>
      <c r="E358">
        <v>5482.36</v>
      </c>
      <c r="F358">
        <v>4858.3100000000004</v>
      </c>
      <c r="G358">
        <v>99224</v>
      </c>
      <c r="H358">
        <v>3662</v>
      </c>
      <c r="I358">
        <v>233</v>
      </c>
      <c r="J358">
        <v>6731.19</v>
      </c>
      <c r="K358">
        <f t="shared" si="35"/>
        <v>3.690639361444812E-2</v>
      </c>
      <c r="L358">
        <f t="shared" si="36"/>
        <v>1.3266821409066085</v>
      </c>
      <c r="M358">
        <f t="shared" si="37"/>
        <v>20.851115879828328</v>
      </c>
      <c r="N358">
        <f t="shared" si="38"/>
        <v>1.3855003077201742</v>
      </c>
      <c r="O358">
        <f t="shared" si="39"/>
        <v>1872.8799999999992</v>
      </c>
      <c r="P358">
        <f t="shared" si="40"/>
        <v>27.82390632265616</v>
      </c>
      <c r="Q358" s="4" t="str">
        <f t="shared" si="41"/>
        <v>2025-06</v>
      </c>
    </row>
    <row r="359" spans="1:17" x14ac:dyDescent="0.3">
      <c r="A359" t="s">
        <v>367</v>
      </c>
      <c r="B359" s="2">
        <v>45730</v>
      </c>
      <c r="C359" t="s">
        <v>513</v>
      </c>
      <c r="D359" t="s">
        <v>515</v>
      </c>
      <c r="E359">
        <v>4635.25</v>
      </c>
      <c r="F359">
        <v>3766.73</v>
      </c>
      <c r="G359">
        <v>83109</v>
      </c>
      <c r="H359">
        <v>3984</v>
      </c>
      <c r="I359">
        <v>764</v>
      </c>
      <c r="J359">
        <v>15689.67</v>
      </c>
      <c r="K359">
        <f t="shared" si="35"/>
        <v>4.793704652925676E-2</v>
      </c>
      <c r="L359">
        <f t="shared" si="36"/>
        <v>0.9454643574297189</v>
      </c>
      <c r="M359">
        <f t="shared" si="37"/>
        <v>4.9302748691099474</v>
      </c>
      <c r="N359">
        <f t="shared" si="38"/>
        <v>4.1653290785376171</v>
      </c>
      <c r="O359">
        <f t="shared" si="39"/>
        <v>11922.94</v>
      </c>
      <c r="P359">
        <f t="shared" si="40"/>
        <v>75.992293018272534</v>
      </c>
      <c r="Q359" s="4" t="str">
        <f t="shared" si="41"/>
        <v>2025-03</v>
      </c>
    </row>
    <row r="360" spans="1:17" x14ac:dyDescent="0.3">
      <c r="A360" t="s">
        <v>368</v>
      </c>
      <c r="B360" s="2">
        <v>45712</v>
      </c>
      <c r="C360" t="s">
        <v>510</v>
      </c>
      <c r="D360" t="s">
        <v>515</v>
      </c>
      <c r="E360">
        <v>9914.06</v>
      </c>
      <c r="F360">
        <v>9203.5400000000009</v>
      </c>
      <c r="G360">
        <v>111688</v>
      </c>
      <c r="H360">
        <v>2013</v>
      </c>
      <c r="I360">
        <v>234</v>
      </c>
      <c r="J360">
        <v>7377.97</v>
      </c>
      <c r="K360">
        <f t="shared" si="35"/>
        <v>1.8023422390946207E-2</v>
      </c>
      <c r="L360">
        <f t="shared" si="36"/>
        <v>4.5720516641828119</v>
      </c>
      <c r="M360">
        <f t="shared" si="37"/>
        <v>39.331367521367525</v>
      </c>
      <c r="N360">
        <f t="shared" si="38"/>
        <v>0.80164480189144605</v>
      </c>
      <c r="O360">
        <f t="shared" si="39"/>
        <v>-1825.5700000000006</v>
      </c>
      <c r="P360">
        <f t="shared" si="40"/>
        <v>-24.743527013528119</v>
      </c>
      <c r="Q360" s="4" t="str">
        <f t="shared" si="41"/>
        <v>2025-02</v>
      </c>
    </row>
    <row r="361" spans="1:17" x14ac:dyDescent="0.3">
      <c r="A361" t="s">
        <v>369</v>
      </c>
      <c r="B361" s="2">
        <v>45693</v>
      </c>
      <c r="C361" t="s">
        <v>514</v>
      </c>
      <c r="D361" t="s">
        <v>516</v>
      </c>
      <c r="E361">
        <v>7757.53</v>
      </c>
      <c r="F361">
        <v>6713.96</v>
      </c>
      <c r="G361">
        <v>134861</v>
      </c>
      <c r="H361">
        <v>3399</v>
      </c>
      <c r="I361">
        <v>139</v>
      </c>
      <c r="J361">
        <v>6741.34</v>
      </c>
      <c r="K361">
        <f t="shared" si="35"/>
        <v>2.5203728283195288E-2</v>
      </c>
      <c r="L361">
        <f t="shared" si="36"/>
        <v>1.9752750809061488</v>
      </c>
      <c r="M361">
        <f t="shared" si="37"/>
        <v>48.301870503597122</v>
      </c>
      <c r="N361">
        <f t="shared" si="38"/>
        <v>1.0040780701702126</v>
      </c>
      <c r="O361">
        <f t="shared" si="39"/>
        <v>27.380000000000109</v>
      </c>
      <c r="P361">
        <f t="shared" si="40"/>
        <v>0.406150705942737</v>
      </c>
      <c r="Q361" s="4" t="str">
        <f t="shared" si="41"/>
        <v>2025-02</v>
      </c>
    </row>
    <row r="362" spans="1:17" x14ac:dyDescent="0.3">
      <c r="A362" t="s">
        <v>370</v>
      </c>
      <c r="B362" s="2">
        <v>45645</v>
      </c>
      <c r="C362" t="s">
        <v>512</v>
      </c>
      <c r="D362" t="s">
        <v>518</v>
      </c>
      <c r="E362">
        <v>8504.42</v>
      </c>
      <c r="F362">
        <v>7031.65</v>
      </c>
      <c r="G362">
        <v>176820</v>
      </c>
      <c r="H362">
        <v>1932</v>
      </c>
      <c r="I362">
        <v>64</v>
      </c>
      <c r="J362">
        <v>2081.7600000000002</v>
      </c>
      <c r="K362">
        <f t="shared" si="35"/>
        <v>1.0926365795724466E-2</v>
      </c>
      <c r="L362">
        <f t="shared" si="36"/>
        <v>3.6395703933747412</v>
      </c>
      <c r="M362">
        <f t="shared" si="37"/>
        <v>109.86953124999999</v>
      </c>
      <c r="N362">
        <f t="shared" si="38"/>
        <v>0.29605569105402008</v>
      </c>
      <c r="O362">
        <f t="shared" si="39"/>
        <v>-4949.8899999999994</v>
      </c>
      <c r="P362">
        <f t="shared" si="40"/>
        <v>-237.77428714164932</v>
      </c>
      <c r="Q362" s="4" t="str">
        <f t="shared" si="41"/>
        <v>2024-12</v>
      </c>
    </row>
    <row r="363" spans="1:17" x14ac:dyDescent="0.3">
      <c r="A363" t="s">
        <v>371</v>
      </c>
      <c r="B363" s="2">
        <v>45793</v>
      </c>
      <c r="C363" t="s">
        <v>512</v>
      </c>
      <c r="D363" t="s">
        <v>518</v>
      </c>
      <c r="E363">
        <v>9153.83</v>
      </c>
      <c r="F363">
        <v>9917.44</v>
      </c>
      <c r="G363">
        <v>86387</v>
      </c>
      <c r="H363">
        <v>2059</v>
      </c>
      <c r="I363">
        <v>67</v>
      </c>
      <c r="J363">
        <v>2279.48</v>
      </c>
      <c r="K363">
        <f t="shared" si="35"/>
        <v>2.3834604743769316E-2</v>
      </c>
      <c r="L363">
        <f t="shared" si="36"/>
        <v>4.8166294317629923</v>
      </c>
      <c r="M363">
        <f t="shared" si="37"/>
        <v>148.02149253731343</v>
      </c>
      <c r="N363">
        <f t="shared" si="38"/>
        <v>0.22984560531750128</v>
      </c>
      <c r="O363">
        <f t="shared" si="39"/>
        <v>-7637.9600000000009</v>
      </c>
      <c r="P363">
        <f t="shared" si="40"/>
        <v>-335.07466615192942</v>
      </c>
      <c r="Q363" s="4" t="str">
        <f t="shared" si="41"/>
        <v>2025-05</v>
      </c>
    </row>
    <row r="364" spans="1:17" x14ac:dyDescent="0.3">
      <c r="A364" t="s">
        <v>372</v>
      </c>
      <c r="B364" s="2">
        <v>45765</v>
      </c>
      <c r="C364" t="s">
        <v>512</v>
      </c>
      <c r="D364" t="s">
        <v>518</v>
      </c>
      <c r="E364">
        <v>7293.88</v>
      </c>
      <c r="F364">
        <v>6200.6</v>
      </c>
      <c r="G364">
        <v>53430</v>
      </c>
      <c r="H364">
        <v>2126</v>
      </c>
      <c r="I364">
        <v>397</v>
      </c>
      <c r="J364">
        <v>19744.82</v>
      </c>
      <c r="K364">
        <f t="shared" si="35"/>
        <v>3.979037993636534E-2</v>
      </c>
      <c r="L364">
        <f t="shared" si="36"/>
        <v>2.9165569143932268</v>
      </c>
      <c r="M364">
        <f t="shared" si="37"/>
        <v>15.618639798488665</v>
      </c>
      <c r="N364">
        <f t="shared" si="38"/>
        <v>3.1843402251395023</v>
      </c>
      <c r="O364">
        <f t="shared" si="39"/>
        <v>13544.22</v>
      </c>
      <c r="P364">
        <f t="shared" si="40"/>
        <v>68.596320452655419</v>
      </c>
      <c r="Q364" s="4" t="str">
        <f t="shared" si="41"/>
        <v>2025-04</v>
      </c>
    </row>
    <row r="365" spans="1:17" x14ac:dyDescent="0.3">
      <c r="A365" t="s">
        <v>373</v>
      </c>
      <c r="B365" s="2">
        <v>45686</v>
      </c>
      <c r="C365" t="s">
        <v>510</v>
      </c>
      <c r="D365" t="s">
        <v>518</v>
      </c>
      <c r="E365">
        <v>4621.7</v>
      </c>
      <c r="F365">
        <v>5004.47</v>
      </c>
      <c r="G365">
        <v>164936</v>
      </c>
      <c r="H365">
        <v>4651</v>
      </c>
      <c r="I365">
        <v>231</v>
      </c>
      <c r="J365">
        <v>9122.0499999999993</v>
      </c>
      <c r="K365">
        <f t="shared" si="35"/>
        <v>2.8198816510646554E-2</v>
      </c>
      <c r="L365">
        <f t="shared" si="36"/>
        <v>1.0759987099548485</v>
      </c>
      <c r="M365">
        <f t="shared" si="37"/>
        <v>21.664372294372296</v>
      </c>
      <c r="N365">
        <f t="shared" si="38"/>
        <v>1.8227804342917429</v>
      </c>
      <c r="O365">
        <f t="shared" si="39"/>
        <v>4117.579999999999</v>
      </c>
      <c r="P365">
        <f t="shared" si="40"/>
        <v>45.138757187255052</v>
      </c>
      <c r="Q365" s="4" t="str">
        <f t="shared" si="41"/>
        <v>2025-01</v>
      </c>
    </row>
    <row r="366" spans="1:17" x14ac:dyDescent="0.3">
      <c r="A366" t="s">
        <v>374</v>
      </c>
      <c r="B366" s="2">
        <v>45726</v>
      </c>
      <c r="C366" t="s">
        <v>512</v>
      </c>
      <c r="D366" t="s">
        <v>518</v>
      </c>
      <c r="E366">
        <v>7254.16</v>
      </c>
      <c r="F366">
        <v>6919.07</v>
      </c>
      <c r="G366">
        <v>152738</v>
      </c>
      <c r="H366">
        <v>4601</v>
      </c>
      <c r="I366">
        <v>244</v>
      </c>
      <c r="J366">
        <v>6568.5</v>
      </c>
      <c r="K366">
        <f t="shared" si="35"/>
        <v>3.0123479422278672E-2</v>
      </c>
      <c r="L366">
        <f t="shared" si="36"/>
        <v>1.503818735057596</v>
      </c>
      <c r="M366">
        <f t="shared" si="37"/>
        <v>28.35684426229508</v>
      </c>
      <c r="N366">
        <f t="shared" si="38"/>
        <v>0.94933278605361704</v>
      </c>
      <c r="O366">
        <f t="shared" si="39"/>
        <v>-350.56999999999971</v>
      </c>
      <c r="P366">
        <f t="shared" si="40"/>
        <v>-5.337139377331197</v>
      </c>
      <c r="Q366" s="4" t="str">
        <f t="shared" si="41"/>
        <v>2025-03</v>
      </c>
    </row>
    <row r="367" spans="1:17" x14ac:dyDescent="0.3">
      <c r="A367" t="s">
        <v>375</v>
      </c>
      <c r="B367" s="2">
        <v>45694</v>
      </c>
      <c r="C367" t="s">
        <v>512</v>
      </c>
      <c r="D367" t="s">
        <v>518</v>
      </c>
      <c r="E367">
        <v>4235.7</v>
      </c>
      <c r="F367">
        <v>3668.73</v>
      </c>
      <c r="G367">
        <v>76927</v>
      </c>
      <c r="H367">
        <v>1398</v>
      </c>
      <c r="I367">
        <v>241</v>
      </c>
      <c r="J367">
        <v>6167.95</v>
      </c>
      <c r="K367">
        <f t="shared" si="35"/>
        <v>1.8173073173268162E-2</v>
      </c>
      <c r="L367">
        <f t="shared" si="36"/>
        <v>2.6242703862660943</v>
      </c>
      <c r="M367">
        <f t="shared" si="37"/>
        <v>15.222946058091287</v>
      </c>
      <c r="N367">
        <f t="shared" si="38"/>
        <v>1.6812221122840874</v>
      </c>
      <c r="O367">
        <f t="shared" si="39"/>
        <v>2499.2199999999998</v>
      </c>
      <c r="P367">
        <f t="shared" si="40"/>
        <v>40.519459463841308</v>
      </c>
      <c r="Q367" s="4" t="str">
        <f t="shared" si="41"/>
        <v>2025-02</v>
      </c>
    </row>
    <row r="368" spans="1:17" x14ac:dyDescent="0.3">
      <c r="A368" t="s">
        <v>376</v>
      </c>
      <c r="B368" s="2">
        <v>45736</v>
      </c>
      <c r="C368" t="s">
        <v>513</v>
      </c>
      <c r="D368" t="s">
        <v>517</v>
      </c>
      <c r="E368">
        <v>8457.09</v>
      </c>
      <c r="F368">
        <v>7653.98</v>
      </c>
      <c r="G368">
        <v>69189</v>
      </c>
      <c r="H368">
        <v>1438</v>
      </c>
      <c r="I368">
        <v>105</v>
      </c>
      <c r="J368">
        <v>2282.1999999999998</v>
      </c>
      <c r="K368">
        <f t="shared" si="35"/>
        <v>2.0783650580294556E-2</v>
      </c>
      <c r="L368">
        <f t="shared" si="36"/>
        <v>5.3226564673157162</v>
      </c>
      <c r="M368">
        <f t="shared" si="37"/>
        <v>72.895047619047617</v>
      </c>
      <c r="N368">
        <f t="shared" si="38"/>
        <v>0.29817167016375795</v>
      </c>
      <c r="O368">
        <f t="shared" si="39"/>
        <v>-5371.78</v>
      </c>
      <c r="P368">
        <f t="shared" si="40"/>
        <v>-235.37726754885639</v>
      </c>
      <c r="Q368" s="4" t="str">
        <f t="shared" si="41"/>
        <v>2025-03</v>
      </c>
    </row>
    <row r="369" spans="1:17" x14ac:dyDescent="0.3">
      <c r="A369" t="s">
        <v>377</v>
      </c>
      <c r="B369" s="2">
        <v>45747</v>
      </c>
      <c r="C369" t="s">
        <v>513</v>
      </c>
      <c r="D369" t="s">
        <v>515</v>
      </c>
      <c r="E369">
        <v>9783.7199999999993</v>
      </c>
      <c r="F369">
        <v>10420.99</v>
      </c>
      <c r="G369">
        <v>127993</v>
      </c>
      <c r="H369">
        <v>3954</v>
      </c>
      <c r="I369">
        <v>611</v>
      </c>
      <c r="J369">
        <v>29225.7</v>
      </c>
      <c r="K369">
        <f t="shared" si="35"/>
        <v>3.0892314423445033E-2</v>
      </c>
      <c r="L369">
        <f t="shared" si="36"/>
        <v>2.6355563985837125</v>
      </c>
      <c r="M369">
        <f t="shared" si="37"/>
        <v>17.055630114566284</v>
      </c>
      <c r="N369">
        <f t="shared" si="38"/>
        <v>2.8045032189839931</v>
      </c>
      <c r="O369">
        <f t="shared" si="39"/>
        <v>18804.71</v>
      </c>
      <c r="P369">
        <f t="shared" si="40"/>
        <v>64.343061072959756</v>
      </c>
      <c r="Q369" s="4" t="str">
        <f t="shared" si="41"/>
        <v>2025-03</v>
      </c>
    </row>
    <row r="370" spans="1:17" x14ac:dyDescent="0.3">
      <c r="A370" t="s">
        <v>378</v>
      </c>
      <c r="B370" s="2">
        <v>45719</v>
      </c>
      <c r="C370" t="s">
        <v>511</v>
      </c>
      <c r="D370" t="s">
        <v>517</v>
      </c>
      <c r="E370">
        <v>9964.35</v>
      </c>
      <c r="F370">
        <v>8491.31</v>
      </c>
      <c r="G370">
        <v>124998</v>
      </c>
      <c r="H370">
        <v>5305</v>
      </c>
      <c r="I370">
        <v>1051</v>
      </c>
      <c r="J370">
        <v>33513.51</v>
      </c>
      <c r="K370">
        <f t="shared" si="35"/>
        <v>4.2440679050864814E-2</v>
      </c>
      <c r="L370">
        <f t="shared" si="36"/>
        <v>1.6006239396795474</v>
      </c>
      <c r="M370">
        <f t="shared" si="37"/>
        <v>8.0792673644148429</v>
      </c>
      <c r="N370">
        <f t="shared" si="38"/>
        <v>3.9468009058672928</v>
      </c>
      <c r="O370">
        <f t="shared" si="39"/>
        <v>25022.200000000004</v>
      </c>
      <c r="P370">
        <f t="shared" si="40"/>
        <v>74.663023956607361</v>
      </c>
      <c r="Q370" s="4" t="str">
        <f t="shared" si="41"/>
        <v>2025-03</v>
      </c>
    </row>
    <row r="371" spans="1:17" x14ac:dyDescent="0.3">
      <c r="A371" t="s">
        <v>379</v>
      </c>
      <c r="B371" s="2">
        <v>45693</v>
      </c>
      <c r="C371" t="s">
        <v>510</v>
      </c>
      <c r="D371" t="s">
        <v>515</v>
      </c>
      <c r="E371">
        <v>8307.67</v>
      </c>
      <c r="F371">
        <v>8380.83</v>
      </c>
      <c r="G371">
        <v>107520</v>
      </c>
      <c r="H371">
        <v>2601</v>
      </c>
      <c r="I371">
        <v>369</v>
      </c>
      <c r="J371">
        <v>9083.6299999999992</v>
      </c>
      <c r="K371">
        <f t="shared" si="35"/>
        <v>2.4190848214285715E-2</v>
      </c>
      <c r="L371">
        <f t="shared" si="36"/>
        <v>3.222156862745098</v>
      </c>
      <c r="M371">
        <f t="shared" si="37"/>
        <v>22.712276422764226</v>
      </c>
      <c r="N371">
        <f t="shared" si="38"/>
        <v>1.0838580426998279</v>
      </c>
      <c r="O371">
        <f t="shared" si="39"/>
        <v>702.79999999999927</v>
      </c>
      <c r="P371">
        <f t="shared" si="40"/>
        <v>7.7369950119060258</v>
      </c>
      <c r="Q371" s="4" t="str">
        <f t="shared" si="41"/>
        <v>2025-02</v>
      </c>
    </row>
    <row r="372" spans="1:17" x14ac:dyDescent="0.3">
      <c r="A372" t="s">
        <v>380</v>
      </c>
      <c r="B372" s="2">
        <v>45655</v>
      </c>
      <c r="C372" t="s">
        <v>512</v>
      </c>
      <c r="D372" t="s">
        <v>518</v>
      </c>
      <c r="E372">
        <v>8710.83</v>
      </c>
      <c r="F372">
        <v>7555.18</v>
      </c>
      <c r="G372">
        <v>117796</v>
      </c>
      <c r="H372">
        <v>2015</v>
      </c>
      <c r="I372">
        <v>234</v>
      </c>
      <c r="J372">
        <v>6251.2</v>
      </c>
      <c r="K372">
        <f t="shared" si="35"/>
        <v>1.7105844001494109E-2</v>
      </c>
      <c r="L372">
        <f t="shared" si="36"/>
        <v>3.749468982630273</v>
      </c>
      <c r="M372">
        <f t="shared" si="37"/>
        <v>32.28709401709402</v>
      </c>
      <c r="N372">
        <f t="shared" si="38"/>
        <v>0.82740583281933711</v>
      </c>
      <c r="O372">
        <f t="shared" si="39"/>
        <v>-1303.9800000000005</v>
      </c>
      <c r="P372">
        <f t="shared" si="40"/>
        <v>-20.859674942411065</v>
      </c>
      <c r="Q372" s="4" t="str">
        <f t="shared" si="41"/>
        <v>2024-12</v>
      </c>
    </row>
    <row r="373" spans="1:17" x14ac:dyDescent="0.3">
      <c r="A373" t="s">
        <v>381</v>
      </c>
      <c r="B373" s="2">
        <v>45692</v>
      </c>
      <c r="C373" t="s">
        <v>514</v>
      </c>
      <c r="D373" t="s">
        <v>517</v>
      </c>
      <c r="E373">
        <v>6758.82</v>
      </c>
      <c r="F373">
        <v>6609.33</v>
      </c>
      <c r="G373">
        <v>56417</v>
      </c>
      <c r="H373">
        <v>2121</v>
      </c>
      <c r="I373">
        <v>213</v>
      </c>
      <c r="J373">
        <v>7966.75</v>
      </c>
      <c r="K373">
        <f t="shared" si="35"/>
        <v>3.7595051137068611E-2</v>
      </c>
      <c r="L373">
        <f t="shared" si="36"/>
        <v>3.116138613861386</v>
      </c>
      <c r="M373">
        <f t="shared" si="37"/>
        <v>31.029718309859156</v>
      </c>
      <c r="N373">
        <f t="shared" si="38"/>
        <v>1.2053793652306664</v>
      </c>
      <c r="O373">
        <f t="shared" si="39"/>
        <v>1357.42</v>
      </c>
      <c r="P373">
        <f t="shared" si="40"/>
        <v>17.038566542190985</v>
      </c>
      <c r="Q373" s="4" t="str">
        <f t="shared" si="41"/>
        <v>2025-02</v>
      </c>
    </row>
    <row r="374" spans="1:17" x14ac:dyDescent="0.3">
      <c r="A374" t="s">
        <v>382</v>
      </c>
      <c r="B374" s="2">
        <v>45698</v>
      </c>
      <c r="C374" t="s">
        <v>511</v>
      </c>
      <c r="D374" t="s">
        <v>516</v>
      </c>
      <c r="E374">
        <v>3640.41</v>
      </c>
      <c r="F374">
        <v>3870.62</v>
      </c>
      <c r="G374">
        <v>133159</v>
      </c>
      <c r="H374">
        <v>6315</v>
      </c>
      <c r="I374">
        <v>1233</v>
      </c>
      <c r="J374">
        <v>34484.550000000003</v>
      </c>
      <c r="K374">
        <f t="shared" si="35"/>
        <v>4.7424507543613277E-2</v>
      </c>
      <c r="L374">
        <f t="shared" si="36"/>
        <v>0.61292478226444969</v>
      </c>
      <c r="M374">
        <f t="shared" si="37"/>
        <v>3.1391889699918898</v>
      </c>
      <c r="N374">
        <f t="shared" si="38"/>
        <v>8.9093091029344151</v>
      </c>
      <c r="O374">
        <f t="shared" si="39"/>
        <v>30613.930000000004</v>
      </c>
      <c r="P374">
        <f t="shared" si="40"/>
        <v>88.77578509796416</v>
      </c>
      <c r="Q374" s="4" t="str">
        <f t="shared" si="41"/>
        <v>2025-02</v>
      </c>
    </row>
    <row r="375" spans="1:17" x14ac:dyDescent="0.3">
      <c r="A375" t="s">
        <v>383</v>
      </c>
      <c r="B375" s="2">
        <v>45785</v>
      </c>
      <c r="C375" t="s">
        <v>514</v>
      </c>
      <c r="D375" t="s">
        <v>518</v>
      </c>
      <c r="E375">
        <v>3906.6</v>
      </c>
      <c r="F375">
        <v>4166.87</v>
      </c>
      <c r="G375">
        <v>184724</v>
      </c>
      <c r="H375">
        <v>5850</v>
      </c>
      <c r="I375">
        <v>633</v>
      </c>
      <c r="J375">
        <v>30807.82</v>
      </c>
      <c r="K375">
        <f t="shared" si="35"/>
        <v>3.1668868149238867E-2</v>
      </c>
      <c r="L375">
        <f t="shared" si="36"/>
        <v>0.71228547008547005</v>
      </c>
      <c r="M375">
        <f t="shared" si="37"/>
        <v>6.5827330173775671</v>
      </c>
      <c r="N375">
        <f t="shared" si="38"/>
        <v>7.3935159964193753</v>
      </c>
      <c r="O375">
        <f t="shared" si="39"/>
        <v>26640.95</v>
      </c>
      <c r="P375">
        <f t="shared" si="40"/>
        <v>86.474635336093243</v>
      </c>
      <c r="Q375" s="4" t="str">
        <f t="shared" si="41"/>
        <v>2025-05</v>
      </c>
    </row>
    <row r="376" spans="1:17" x14ac:dyDescent="0.3">
      <c r="A376" t="s">
        <v>384</v>
      </c>
      <c r="B376" s="2">
        <v>45644</v>
      </c>
      <c r="C376" t="s">
        <v>511</v>
      </c>
      <c r="D376" t="s">
        <v>516</v>
      </c>
      <c r="E376">
        <v>9034.89</v>
      </c>
      <c r="F376">
        <v>9422.08</v>
      </c>
      <c r="G376">
        <v>184680</v>
      </c>
      <c r="H376">
        <v>7103</v>
      </c>
      <c r="I376">
        <v>104</v>
      </c>
      <c r="J376">
        <v>4124.3500000000004</v>
      </c>
      <c r="K376">
        <f t="shared" si="35"/>
        <v>3.8461121940654104E-2</v>
      </c>
      <c r="L376">
        <f t="shared" si="36"/>
        <v>1.3264930311136141</v>
      </c>
      <c r="M376">
        <f t="shared" si="37"/>
        <v>90.596923076923076</v>
      </c>
      <c r="N376">
        <f t="shared" si="38"/>
        <v>0.43773243275370199</v>
      </c>
      <c r="O376">
        <f t="shared" si="39"/>
        <v>-5297.73</v>
      </c>
      <c r="P376">
        <f t="shared" si="40"/>
        <v>-128.45005879714378</v>
      </c>
      <c r="Q376" s="4" t="str">
        <f t="shared" si="41"/>
        <v>2024-12</v>
      </c>
    </row>
    <row r="377" spans="1:17" x14ac:dyDescent="0.3">
      <c r="A377" t="s">
        <v>385</v>
      </c>
      <c r="B377" s="2">
        <v>45743</v>
      </c>
      <c r="C377" t="s">
        <v>514</v>
      </c>
      <c r="D377" t="s">
        <v>515</v>
      </c>
      <c r="E377">
        <v>6856</v>
      </c>
      <c r="F377">
        <v>5663.71</v>
      </c>
      <c r="G377">
        <v>89044</v>
      </c>
      <c r="H377">
        <v>2861</v>
      </c>
      <c r="I377">
        <v>262</v>
      </c>
      <c r="J377">
        <v>8450.44</v>
      </c>
      <c r="K377">
        <f t="shared" si="35"/>
        <v>3.2130182830959975E-2</v>
      </c>
      <c r="L377">
        <f t="shared" si="36"/>
        <v>1.979626004893394</v>
      </c>
      <c r="M377">
        <f t="shared" si="37"/>
        <v>21.617213740458016</v>
      </c>
      <c r="N377">
        <f t="shared" si="38"/>
        <v>1.4920326076017312</v>
      </c>
      <c r="O377">
        <f t="shared" si="39"/>
        <v>2786.7300000000005</v>
      </c>
      <c r="P377">
        <f t="shared" si="40"/>
        <v>32.977336091375129</v>
      </c>
      <c r="Q377" s="4" t="str">
        <f t="shared" si="41"/>
        <v>2025-03</v>
      </c>
    </row>
    <row r="378" spans="1:17" x14ac:dyDescent="0.3">
      <c r="A378" t="s">
        <v>386</v>
      </c>
      <c r="B378" s="2">
        <v>45654</v>
      </c>
      <c r="C378" t="s">
        <v>514</v>
      </c>
      <c r="D378" t="s">
        <v>518</v>
      </c>
      <c r="E378">
        <v>5608.82</v>
      </c>
      <c r="F378">
        <v>4924.13</v>
      </c>
      <c r="G378">
        <v>146101</v>
      </c>
      <c r="H378">
        <v>1999</v>
      </c>
      <c r="I378">
        <v>79</v>
      </c>
      <c r="J378">
        <v>3294.51</v>
      </c>
      <c r="K378">
        <f t="shared" si="35"/>
        <v>1.3682315658345939E-2</v>
      </c>
      <c r="L378">
        <f t="shared" si="36"/>
        <v>2.4632966483241621</v>
      </c>
      <c r="M378">
        <f t="shared" si="37"/>
        <v>62.33075949367089</v>
      </c>
      <c r="N378">
        <f t="shared" si="38"/>
        <v>0.66905422886885602</v>
      </c>
      <c r="O378">
        <f t="shared" si="39"/>
        <v>-1629.62</v>
      </c>
      <c r="P378">
        <f t="shared" si="40"/>
        <v>-49.464715541916696</v>
      </c>
      <c r="Q378" s="4" t="str">
        <f t="shared" si="41"/>
        <v>2024-12</v>
      </c>
    </row>
    <row r="379" spans="1:17" x14ac:dyDescent="0.3">
      <c r="A379" t="s">
        <v>387</v>
      </c>
      <c r="B379" s="2">
        <v>45675</v>
      </c>
      <c r="C379" t="s">
        <v>511</v>
      </c>
      <c r="D379" t="s">
        <v>516</v>
      </c>
      <c r="E379">
        <v>6471.13</v>
      </c>
      <c r="F379">
        <v>5334.24</v>
      </c>
      <c r="G379">
        <v>130452</v>
      </c>
      <c r="H379">
        <v>4881</v>
      </c>
      <c r="I379">
        <v>864</v>
      </c>
      <c r="J379">
        <v>22987.15</v>
      </c>
      <c r="K379">
        <f t="shared" si="35"/>
        <v>3.7416061079937446E-2</v>
      </c>
      <c r="L379">
        <f t="shared" si="36"/>
        <v>1.0928580208973571</v>
      </c>
      <c r="M379">
        <f t="shared" si="37"/>
        <v>6.1738888888888885</v>
      </c>
      <c r="N379">
        <f t="shared" si="38"/>
        <v>4.3093580341341973</v>
      </c>
      <c r="O379">
        <f t="shared" si="39"/>
        <v>17652.910000000003</v>
      </c>
      <c r="P379">
        <f t="shared" si="40"/>
        <v>76.794687466693361</v>
      </c>
      <c r="Q379" s="4" t="str">
        <f t="shared" si="41"/>
        <v>2025-01</v>
      </c>
    </row>
    <row r="380" spans="1:17" x14ac:dyDescent="0.3">
      <c r="A380" t="s">
        <v>388</v>
      </c>
      <c r="B380" s="2">
        <v>45766</v>
      </c>
      <c r="C380" t="s">
        <v>512</v>
      </c>
      <c r="D380" t="s">
        <v>518</v>
      </c>
      <c r="E380">
        <v>7782.81</v>
      </c>
      <c r="F380">
        <v>6404</v>
      </c>
      <c r="G380">
        <v>115837</v>
      </c>
      <c r="H380">
        <v>5035</v>
      </c>
      <c r="I380">
        <v>407</v>
      </c>
      <c r="J380">
        <v>18533.240000000002</v>
      </c>
      <c r="K380">
        <f t="shared" si="35"/>
        <v>4.3466249989208977E-2</v>
      </c>
      <c r="L380">
        <f t="shared" si="36"/>
        <v>1.271896722939424</v>
      </c>
      <c r="M380">
        <f t="shared" si="37"/>
        <v>15.734643734643734</v>
      </c>
      <c r="N380">
        <f t="shared" si="38"/>
        <v>2.8940099937539041</v>
      </c>
      <c r="O380">
        <f t="shared" si="39"/>
        <v>12129.240000000002</v>
      </c>
      <c r="P380">
        <f t="shared" si="40"/>
        <v>65.445869151859043</v>
      </c>
      <c r="Q380" s="4" t="str">
        <f t="shared" si="41"/>
        <v>2025-04</v>
      </c>
    </row>
    <row r="381" spans="1:17" x14ac:dyDescent="0.3">
      <c r="A381" t="s">
        <v>389</v>
      </c>
      <c r="B381" s="2">
        <v>45787</v>
      </c>
      <c r="C381" t="s">
        <v>510</v>
      </c>
      <c r="D381" t="s">
        <v>515</v>
      </c>
      <c r="E381">
        <v>6466.03</v>
      </c>
      <c r="F381">
        <v>6105.07</v>
      </c>
      <c r="G381">
        <v>186219</v>
      </c>
      <c r="H381">
        <v>6823</v>
      </c>
      <c r="I381">
        <v>526</v>
      </c>
      <c r="J381">
        <v>19868.189999999999</v>
      </c>
      <c r="K381">
        <f t="shared" si="35"/>
        <v>3.6639655459432173E-2</v>
      </c>
      <c r="L381">
        <f t="shared" si="36"/>
        <v>0.89477795691044992</v>
      </c>
      <c r="M381">
        <f t="shared" si="37"/>
        <v>11.606596958174904</v>
      </c>
      <c r="N381">
        <f t="shared" si="38"/>
        <v>3.2543754617064176</v>
      </c>
      <c r="O381">
        <f t="shared" si="39"/>
        <v>13763.119999999999</v>
      </c>
      <c r="P381">
        <f t="shared" si="40"/>
        <v>69.272138025658109</v>
      </c>
      <c r="Q381" s="4" t="str">
        <f t="shared" si="41"/>
        <v>2025-05</v>
      </c>
    </row>
    <row r="382" spans="1:17" x14ac:dyDescent="0.3">
      <c r="A382" t="s">
        <v>390</v>
      </c>
      <c r="B382" s="2">
        <v>45693</v>
      </c>
      <c r="C382" t="s">
        <v>512</v>
      </c>
      <c r="D382" t="s">
        <v>517</v>
      </c>
      <c r="E382">
        <v>8772.77</v>
      </c>
      <c r="F382">
        <v>7933.59</v>
      </c>
      <c r="G382">
        <v>165044</v>
      </c>
      <c r="H382">
        <v>3343</v>
      </c>
      <c r="I382">
        <v>448</v>
      </c>
      <c r="J382">
        <v>18072.54</v>
      </c>
      <c r="K382">
        <f t="shared" si="35"/>
        <v>2.0255204672693341E-2</v>
      </c>
      <c r="L382">
        <f t="shared" si="36"/>
        <v>2.3731947352677238</v>
      </c>
      <c r="M382">
        <f t="shared" si="37"/>
        <v>17.708906250000002</v>
      </c>
      <c r="N382">
        <f t="shared" si="38"/>
        <v>2.2779775612301618</v>
      </c>
      <c r="O382">
        <f t="shared" si="39"/>
        <v>10138.950000000001</v>
      </c>
      <c r="P382">
        <f t="shared" si="40"/>
        <v>56.101411312410988</v>
      </c>
      <c r="Q382" s="4" t="str">
        <f t="shared" si="41"/>
        <v>2025-02</v>
      </c>
    </row>
    <row r="383" spans="1:17" x14ac:dyDescent="0.3">
      <c r="A383" t="s">
        <v>391</v>
      </c>
      <c r="B383" s="2">
        <v>45762</v>
      </c>
      <c r="C383" t="s">
        <v>510</v>
      </c>
      <c r="D383" t="s">
        <v>517</v>
      </c>
      <c r="E383">
        <v>6960.12</v>
      </c>
      <c r="F383">
        <v>6125.66</v>
      </c>
      <c r="G383">
        <v>181245</v>
      </c>
      <c r="H383">
        <v>4787</v>
      </c>
      <c r="I383">
        <v>615</v>
      </c>
      <c r="J383">
        <v>28510.720000000001</v>
      </c>
      <c r="K383">
        <f t="shared" si="35"/>
        <v>2.6411763083119533E-2</v>
      </c>
      <c r="L383">
        <f t="shared" si="36"/>
        <v>1.2796448715270523</v>
      </c>
      <c r="M383">
        <f t="shared" si="37"/>
        <v>9.9604227642276424</v>
      </c>
      <c r="N383">
        <f t="shared" si="38"/>
        <v>4.6543099029329085</v>
      </c>
      <c r="O383">
        <f t="shared" si="39"/>
        <v>22385.06</v>
      </c>
      <c r="P383">
        <f t="shared" si="40"/>
        <v>78.514537689683038</v>
      </c>
      <c r="Q383" s="4" t="str">
        <f t="shared" si="41"/>
        <v>2025-04</v>
      </c>
    </row>
    <row r="384" spans="1:17" x14ac:dyDescent="0.3">
      <c r="A384" t="s">
        <v>392</v>
      </c>
      <c r="B384" s="2">
        <v>45815</v>
      </c>
      <c r="C384" t="s">
        <v>513</v>
      </c>
      <c r="D384" t="s">
        <v>518</v>
      </c>
      <c r="E384">
        <v>8581.98</v>
      </c>
      <c r="F384">
        <v>8560.83</v>
      </c>
      <c r="G384">
        <v>125026</v>
      </c>
      <c r="H384">
        <v>4106</v>
      </c>
      <c r="I384">
        <v>468</v>
      </c>
      <c r="J384">
        <v>21302.17</v>
      </c>
      <c r="K384">
        <f t="shared" si="35"/>
        <v>3.284116903684034E-2</v>
      </c>
      <c r="L384">
        <f t="shared" si="36"/>
        <v>2.084956161714564</v>
      </c>
      <c r="M384">
        <f t="shared" si="37"/>
        <v>18.292371794871794</v>
      </c>
      <c r="N384">
        <f t="shared" si="38"/>
        <v>2.4883299866952151</v>
      </c>
      <c r="O384">
        <f t="shared" si="39"/>
        <v>12741.339999999998</v>
      </c>
      <c r="P384">
        <f t="shared" si="40"/>
        <v>59.812404088409764</v>
      </c>
      <c r="Q384" s="4" t="str">
        <f t="shared" si="41"/>
        <v>2025-06</v>
      </c>
    </row>
    <row r="385" spans="1:17" x14ac:dyDescent="0.3">
      <c r="A385" t="s">
        <v>393</v>
      </c>
      <c r="B385" s="2">
        <v>45699</v>
      </c>
      <c r="C385" t="s">
        <v>511</v>
      </c>
      <c r="D385" t="s">
        <v>517</v>
      </c>
      <c r="E385">
        <v>9071.06</v>
      </c>
      <c r="F385">
        <v>9184.5300000000007</v>
      </c>
      <c r="G385">
        <v>172320</v>
      </c>
      <c r="H385">
        <v>5189</v>
      </c>
      <c r="I385">
        <v>470</v>
      </c>
      <c r="J385">
        <v>21201.89</v>
      </c>
      <c r="K385">
        <f t="shared" si="35"/>
        <v>3.0112581244196843E-2</v>
      </c>
      <c r="L385">
        <f t="shared" si="36"/>
        <v>1.77</v>
      </c>
      <c r="M385">
        <f t="shared" si="37"/>
        <v>19.541553191489363</v>
      </c>
      <c r="N385">
        <f t="shared" si="38"/>
        <v>2.3084349444119621</v>
      </c>
      <c r="O385">
        <f t="shared" si="39"/>
        <v>12017.359999999999</v>
      </c>
      <c r="P385">
        <f t="shared" si="40"/>
        <v>56.680607247750082</v>
      </c>
      <c r="Q385" s="4" t="str">
        <f t="shared" si="41"/>
        <v>2025-02</v>
      </c>
    </row>
    <row r="386" spans="1:17" x14ac:dyDescent="0.3">
      <c r="A386" t="s">
        <v>394</v>
      </c>
      <c r="B386" s="2">
        <v>45752</v>
      </c>
      <c r="C386" t="s">
        <v>510</v>
      </c>
      <c r="D386" t="s">
        <v>518</v>
      </c>
      <c r="E386">
        <v>7882.3</v>
      </c>
      <c r="F386">
        <v>7914.16</v>
      </c>
      <c r="G386">
        <v>169951</v>
      </c>
      <c r="H386">
        <v>5839</v>
      </c>
      <c r="I386">
        <v>987</v>
      </c>
      <c r="J386">
        <v>38057.08</v>
      </c>
      <c r="K386">
        <f t="shared" si="35"/>
        <v>3.4356961712493604E-2</v>
      </c>
      <c r="L386">
        <f t="shared" si="36"/>
        <v>1.3553964719986298</v>
      </c>
      <c r="M386">
        <f t="shared" si="37"/>
        <v>8.0183991894630182</v>
      </c>
      <c r="N386">
        <f t="shared" si="38"/>
        <v>4.8087327018912935</v>
      </c>
      <c r="O386">
        <f t="shared" si="39"/>
        <v>30142.920000000002</v>
      </c>
      <c r="P386">
        <f t="shared" si="40"/>
        <v>79.204500187612922</v>
      </c>
      <c r="Q386" s="4" t="str">
        <f t="shared" si="41"/>
        <v>2025-04</v>
      </c>
    </row>
    <row r="387" spans="1:17" x14ac:dyDescent="0.3">
      <c r="A387" t="s">
        <v>395</v>
      </c>
      <c r="B387" s="2">
        <v>45758</v>
      </c>
      <c r="C387" t="s">
        <v>510</v>
      </c>
      <c r="D387" t="s">
        <v>516</v>
      </c>
      <c r="E387">
        <v>8269.02</v>
      </c>
      <c r="F387">
        <v>7008.67</v>
      </c>
      <c r="G387">
        <v>117094</v>
      </c>
      <c r="H387">
        <v>1370</v>
      </c>
      <c r="I387">
        <v>194</v>
      </c>
      <c r="J387">
        <v>9006.67</v>
      </c>
      <c r="K387">
        <f t="shared" ref="K387:K450" si="42">H387/G387</f>
        <v>1.1700001708029446E-2</v>
      </c>
      <c r="L387">
        <f t="shared" ref="L387:L450" si="43">F387/H387</f>
        <v>5.1158175182481749</v>
      </c>
      <c r="M387">
        <f t="shared" ref="M387:M450" si="44">F387/I387</f>
        <v>36.127164948453611</v>
      </c>
      <c r="N387">
        <f t="shared" ref="N387:N450" si="45">J387/F387</f>
        <v>1.2850754850777679</v>
      </c>
      <c r="O387">
        <f t="shared" ref="O387:O450" si="46">J387-F387</f>
        <v>1998</v>
      </c>
      <c r="P387">
        <f t="shared" ref="P387:P450" si="47">(O387/J387)*100</f>
        <v>22.183559517557544</v>
      </c>
      <c r="Q387" s="4" t="str">
        <f t="shared" ref="Q387:Q450" si="48">TEXT(B387,"yyyy-mm")</f>
        <v>2025-04</v>
      </c>
    </row>
    <row r="388" spans="1:17" x14ac:dyDescent="0.3">
      <c r="A388" t="s">
        <v>396</v>
      </c>
      <c r="B388" s="2">
        <v>45752</v>
      </c>
      <c r="C388" t="s">
        <v>512</v>
      </c>
      <c r="D388" t="s">
        <v>516</v>
      </c>
      <c r="E388">
        <v>9102.9</v>
      </c>
      <c r="F388">
        <v>7362.19</v>
      </c>
      <c r="G388">
        <v>54766</v>
      </c>
      <c r="H388">
        <v>2723</v>
      </c>
      <c r="I388">
        <v>466</v>
      </c>
      <c r="J388">
        <v>20864.919999999998</v>
      </c>
      <c r="K388">
        <f t="shared" si="42"/>
        <v>4.9720629587700398E-2</v>
      </c>
      <c r="L388">
        <f t="shared" si="43"/>
        <v>2.7037054719059861</v>
      </c>
      <c r="M388">
        <f t="shared" si="44"/>
        <v>15.798690987124463</v>
      </c>
      <c r="N388">
        <f t="shared" si="45"/>
        <v>2.8340643205350582</v>
      </c>
      <c r="O388">
        <f t="shared" si="46"/>
        <v>13502.73</v>
      </c>
      <c r="P388">
        <f t="shared" si="47"/>
        <v>64.714985727239792</v>
      </c>
      <c r="Q388" s="4" t="str">
        <f t="shared" si="48"/>
        <v>2025-04</v>
      </c>
    </row>
    <row r="389" spans="1:17" x14ac:dyDescent="0.3">
      <c r="A389" t="s">
        <v>397</v>
      </c>
      <c r="B389" s="2">
        <v>45667</v>
      </c>
      <c r="C389" t="s">
        <v>512</v>
      </c>
      <c r="D389" t="s">
        <v>518</v>
      </c>
      <c r="E389">
        <v>3902.09</v>
      </c>
      <c r="F389">
        <v>3513.97</v>
      </c>
      <c r="G389">
        <v>197025</v>
      </c>
      <c r="H389">
        <v>6420</v>
      </c>
      <c r="I389">
        <v>253</v>
      </c>
      <c r="J389">
        <v>10703.23</v>
      </c>
      <c r="K389">
        <f t="shared" si="42"/>
        <v>3.2584697373429769E-2</v>
      </c>
      <c r="L389">
        <f t="shared" si="43"/>
        <v>0.54734735202492213</v>
      </c>
      <c r="M389">
        <f t="shared" si="44"/>
        <v>13.889209486166006</v>
      </c>
      <c r="N389">
        <f t="shared" si="45"/>
        <v>3.0459081893129425</v>
      </c>
      <c r="O389">
        <f t="shared" si="46"/>
        <v>7189.26</v>
      </c>
      <c r="P389">
        <f t="shared" si="47"/>
        <v>67.169069523872707</v>
      </c>
      <c r="Q389" s="4" t="str">
        <f t="shared" si="48"/>
        <v>2025-01</v>
      </c>
    </row>
    <row r="390" spans="1:17" x14ac:dyDescent="0.3">
      <c r="A390" t="s">
        <v>398</v>
      </c>
      <c r="B390" s="2">
        <v>45716</v>
      </c>
      <c r="C390" t="s">
        <v>510</v>
      </c>
      <c r="D390" t="s">
        <v>516</v>
      </c>
      <c r="E390">
        <v>4125.32</v>
      </c>
      <c r="F390">
        <v>4312.57</v>
      </c>
      <c r="G390">
        <v>119124</v>
      </c>
      <c r="H390">
        <v>3940</v>
      </c>
      <c r="I390">
        <v>727</v>
      </c>
      <c r="J390">
        <v>32688.85</v>
      </c>
      <c r="K390">
        <f t="shared" si="42"/>
        <v>3.307477922165139E-2</v>
      </c>
      <c r="L390">
        <f t="shared" si="43"/>
        <v>1.0945609137055836</v>
      </c>
      <c r="M390">
        <f t="shared" si="44"/>
        <v>5.9320082530949101</v>
      </c>
      <c r="N390">
        <f t="shared" si="45"/>
        <v>7.5799001523453535</v>
      </c>
      <c r="O390">
        <f t="shared" si="46"/>
        <v>28376.28</v>
      </c>
      <c r="P390">
        <f t="shared" si="47"/>
        <v>86.807214080642183</v>
      </c>
      <c r="Q390" s="4" t="str">
        <f t="shared" si="48"/>
        <v>2025-02</v>
      </c>
    </row>
    <row r="391" spans="1:17" x14ac:dyDescent="0.3">
      <c r="A391" t="s">
        <v>399</v>
      </c>
      <c r="B391" s="2">
        <v>45815</v>
      </c>
      <c r="C391" t="s">
        <v>512</v>
      </c>
      <c r="D391" t="s">
        <v>518</v>
      </c>
      <c r="E391">
        <v>6552.27</v>
      </c>
      <c r="F391">
        <v>5254.37</v>
      </c>
      <c r="G391">
        <v>68519</v>
      </c>
      <c r="H391">
        <v>3190</v>
      </c>
      <c r="I391">
        <v>282</v>
      </c>
      <c r="J391">
        <v>8068.34</v>
      </c>
      <c r="K391">
        <f t="shared" si="42"/>
        <v>4.6556429603467654E-2</v>
      </c>
      <c r="L391">
        <f t="shared" si="43"/>
        <v>1.6471379310344827</v>
      </c>
      <c r="M391">
        <f t="shared" si="44"/>
        <v>18.632517730496453</v>
      </c>
      <c r="N391">
        <f t="shared" si="45"/>
        <v>1.5355485053393652</v>
      </c>
      <c r="O391">
        <f t="shared" si="46"/>
        <v>2813.9700000000003</v>
      </c>
      <c r="P391">
        <f t="shared" si="47"/>
        <v>34.87669086825791</v>
      </c>
      <c r="Q391" s="4" t="str">
        <f t="shared" si="48"/>
        <v>2025-06</v>
      </c>
    </row>
    <row r="392" spans="1:17" x14ac:dyDescent="0.3">
      <c r="A392" t="s">
        <v>400</v>
      </c>
      <c r="B392" s="2">
        <v>45697</v>
      </c>
      <c r="C392" t="s">
        <v>510</v>
      </c>
      <c r="D392" t="s">
        <v>518</v>
      </c>
      <c r="E392">
        <v>7318.49</v>
      </c>
      <c r="F392">
        <v>8009.03</v>
      </c>
      <c r="G392">
        <v>140986</v>
      </c>
      <c r="H392">
        <v>2922</v>
      </c>
      <c r="I392">
        <v>339</v>
      </c>
      <c r="J392">
        <v>13205.54</v>
      </c>
      <c r="K392">
        <f t="shared" si="42"/>
        <v>2.0725462102620117E-2</v>
      </c>
      <c r="L392">
        <f t="shared" si="43"/>
        <v>2.7409411362080767</v>
      </c>
      <c r="M392">
        <f t="shared" si="44"/>
        <v>23.625457227138643</v>
      </c>
      <c r="N392">
        <f t="shared" si="45"/>
        <v>1.648831381578044</v>
      </c>
      <c r="O392">
        <f t="shared" si="46"/>
        <v>5196.5100000000011</v>
      </c>
      <c r="P392">
        <f t="shared" si="47"/>
        <v>39.350984511046128</v>
      </c>
      <c r="Q392" s="4" t="str">
        <f t="shared" si="48"/>
        <v>2025-02</v>
      </c>
    </row>
    <row r="393" spans="1:17" x14ac:dyDescent="0.3">
      <c r="A393" t="s">
        <v>401</v>
      </c>
      <c r="B393" s="2">
        <v>45762</v>
      </c>
      <c r="C393" t="s">
        <v>510</v>
      </c>
      <c r="D393" t="s">
        <v>518</v>
      </c>
      <c r="E393">
        <v>4818.63</v>
      </c>
      <c r="F393">
        <v>4771.42</v>
      </c>
      <c r="G393">
        <v>175888</v>
      </c>
      <c r="H393">
        <v>8565</v>
      </c>
      <c r="I393">
        <v>610</v>
      </c>
      <c r="J393">
        <v>22081.73</v>
      </c>
      <c r="K393">
        <f t="shared" si="42"/>
        <v>4.8695760938779226E-2</v>
      </c>
      <c r="L393">
        <f t="shared" si="43"/>
        <v>0.55708347927612378</v>
      </c>
      <c r="M393">
        <f t="shared" si="44"/>
        <v>7.8220000000000001</v>
      </c>
      <c r="N393">
        <f t="shared" si="45"/>
        <v>4.6279157986511352</v>
      </c>
      <c r="O393">
        <f t="shared" si="46"/>
        <v>17310.309999999998</v>
      </c>
      <c r="P393">
        <f t="shared" si="47"/>
        <v>78.392000989052931</v>
      </c>
      <c r="Q393" s="4" t="str">
        <f t="shared" si="48"/>
        <v>2025-04</v>
      </c>
    </row>
    <row r="394" spans="1:17" x14ac:dyDescent="0.3">
      <c r="A394" t="s">
        <v>402</v>
      </c>
      <c r="B394" s="2">
        <v>45645</v>
      </c>
      <c r="C394" t="s">
        <v>511</v>
      </c>
      <c r="D394" t="s">
        <v>516</v>
      </c>
      <c r="E394">
        <v>8458.92</v>
      </c>
      <c r="F394">
        <v>7038.62</v>
      </c>
      <c r="G394">
        <v>187533</v>
      </c>
      <c r="H394">
        <v>7387</v>
      </c>
      <c r="I394">
        <v>925</v>
      </c>
      <c r="J394">
        <v>39618.519999999997</v>
      </c>
      <c r="K394">
        <f t="shared" si="42"/>
        <v>3.9390400622823715E-2</v>
      </c>
      <c r="L394">
        <f t="shared" si="43"/>
        <v>0.95283877081359147</v>
      </c>
      <c r="M394">
        <f t="shared" si="44"/>
        <v>7.6093189189189188</v>
      </c>
      <c r="N394">
        <f t="shared" si="45"/>
        <v>5.628734041616112</v>
      </c>
      <c r="O394">
        <f t="shared" si="46"/>
        <v>32579.899999999998</v>
      </c>
      <c r="P394">
        <f t="shared" si="47"/>
        <v>82.23401580876822</v>
      </c>
      <c r="Q394" s="4" t="str">
        <f t="shared" si="48"/>
        <v>2024-12</v>
      </c>
    </row>
    <row r="395" spans="1:17" x14ac:dyDescent="0.3">
      <c r="A395" t="s">
        <v>403</v>
      </c>
      <c r="B395" s="2">
        <v>45727</v>
      </c>
      <c r="C395" t="s">
        <v>513</v>
      </c>
      <c r="D395" t="s">
        <v>516</v>
      </c>
      <c r="E395">
        <v>6788.87</v>
      </c>
      <c r="F395">
        <v>7392.38</v>
      </c>
      <c r="G395">
        <v>91252</v>
      </c>
      <c r="H395">
        <v>1758</v>
      </c>
      <c r="I395">
        <v>270</v>
      </c>
      <c r="J395">
        <v>8169.16</v>
      </c>
      <c r="K395">
        <f t="shared" si="42"/>
        <v>1.9265331170823654E-2</v>
      </c>
      <c r="L395">
        <f t="shared" si="43"/>
        <v>4.2049943117178614</v>
      </c>
      <c r="M395">
        <f t="shared" si="44"/>
        <v>27.379185185185186</v>
      </c>
      <c r="N395">
        <f t="shared" si="45"/>
        <v>1.1050784726975615</v>
      </c>
      <c r="O395">
        <f t="shared" si="46"/>
        <v>776.77999999999975</v>
      </c>
      <c r="P395">
        <f t="shared" si="47"/>
        <v>9.5086887758349672</v>
      </c>
      <c r="Q395" s="4" t="str">
        <f t="shared" si="48"/>
        <v>2025-03</v>
      </c>
    </row>
    <row r="396" spans="1:17" x14ac:dyDescent="0.3">
      <c r="A396" t="s">
        <v>404</v>
      </c>
      <c r="B396" s="2">
        <v>45742</v>
      </c>
      <c r="C396" t="s">
        <v>511</v>
      </c>
      <c r="D396" t="s">
        <v>515</v>
      </c>
      <c r="E396">
        <v>7428.35</v>
      </c>
      <c r="F396">
        <v>8019.71</v>
      </c>
      <c r="G396">
        <v>145695</v>
      </c>
      <c r="H396">
        <v>2785</v>
      </c>
      <c r="I396">
        <v>83</v>
      </c>
      <c r="J396">
        <v>1915.25</v>
      </c>
      <c r="K396">
        <f t="shared" si="42"/>
        <v>1.9115275060914923E-2</v>
      </c>
      <c r="L396">
        <f t="shared" si="43"/>
        <v>2.879608617594255</v>
      </c>
      <c r="M396">
        <f t="shared" si="44"/>
        <v>96.623012048192777</v>
      </c>
      <c r="N396">
        <f t="shared" si="45"/>
        <v>0.23881786249128709</v>
      </c>
      <c r="O396">
        <f t="shared" si="46"/>
        <v>-6104.46</v>
      </c>
      <c r="P396">
        <f t="shared" si="47"/>
        <v>-318.7291476308576</v>
      </c>
      <c r="Q396" s="4" t="str">
        <f t="shared" si="48"/>
        <v>2025-03</v>
      </c>
    </row>
    <row r="397" spans="1:17" x14ac:dyDescent="0.3">
      <c r="A397" t="s">
        <v>405</v>
      </c>
      <c r="B397" s="2">
        <v>45786</v>
      </c>
      <c r="C397" t="s">
        <v>511</v>
      </c>
      <c r="D397" t="s">
        <v>516</v>
      </c>
      <c r="E397">
        <v>9560.6</v>
      </c>
      <c r="F397">
        <v>9621.4599999999991</v>
      </c>
      <c r="G397">
        <v>165271</v>
      </c>
      <c r="H397">
        <v>3470</v>
      </c>
      <c r="I397">
        <v>651</v>
      </c>
      <c r="J397">
        <v>14344.86</v>
      </c>
      <c r="K397">
        <f t="shared" si="42"/>
        <v>2.0995818988207248E-2</v>
      </c>
      <c r="L397">
        <f t="shared" si="43"/>
        <v>2.7727550432276655</v>
      </c>
      <c r="M397">
        <f t="shared" si="44"/>
        <v>14.779508448540705</v>
      </c>
      <c r="N397">
        <f t="shared" si="45"/>
        <v>1.4909234149494985</v>
      </c>
      <c r="O397">
        <f t="shared" si="46"/>
        <v>4723.4000000000015</v>
      </c>
      <c r="P397">
        <f t="shared" si="47"/>
        <v>32.927473673496998</v>
      </c>
      <c r="Q397" s="4" t="str">
        <f t="shared" si="48"/>
        <v>2025-05</v>
      </c>
    </row>
    <row r="398" spans="1:17" x14ac:dyDescent="0.3">
      <c r="A398" t="s">
        <v>406</v>
      </c>
      <c r="B398" s="2">
        <v>45777</v>
      </c>
      <c r="C398" t="s">
        <v>513</v>
      </c>
      <c r="D398" t="s">
        <v>516</v>
      </c>
      <c r="E398">
        <v>5106.74</v>
      </c>
      <c r="F398">
        <v>5170.33</v>
      </c>
      <c r="G398">
        <v>69967</v>
      </c>
      <c r="H398">
        <v>1422</v>
      </c>
      <c r="I398">
        <v>153</v>
      </c>
      <c r="J398">
        <v>3369.14</v>
      </c>
      <c r="K398">
        <f t="shared" si="42"/>
        <v>2.0323866965855333E-2</v>
      </c>
      <c r="L398">
        <f t="shared" si="43"/>
        <v>3.6359563994374122</v>
      </c>
      <c r="M398">
        <f t="shared" si="44"/>
        <v>33.793006535947711</v>
      </c>
      <c r="N398">
        <f t="shared" si="45"/>
        <v>0.65162958650608371</v>
      </c>
      <c r="O398">
        <f t="shared" si="46"/>
        <v>-1801.19</v>
      </c>
      <c r="P398">
        <f t="shared" si="47"/>
        <v>-53.461417453712222</v>
      </c>
      <c r="Q398" s="4" t="str">
        <f t="shared" si="48"/>
        <v>2025-04</v>
      </c>
    </row>
    <row r="399" spans="1:17" x14ac:dyDescent="0.3">
      <c r="A399" t="s">
        <v>407</v>
      </c>
      <c r="B399" s="2">
        <v>45767</v>
      </c>
      <c r="C399" t="s">
        <v>514</v>
      </c>
      <c r="D399" t="s">
        <v>515</v>
      </c>
      <c r="E399">
        <v>7075.19</v>
      </c>
      <c r="F399">
        <v>6394.31</v>
      </c>
      <c r="G399">
        <v>193477</v>
      </c>
      <c r="H399">
        <v>8585</v>
      </c>
      <c r="I399">
        <v>591</v>
      </c>
      <c r="J399">
        <v>22828.83</v>
      </c>
      <c r="K399">
        <f t="shared" si="42"/>
        <v>4.4372199279500923E-2</v>
      </c>
      <c r="L399">
        <f t="shared" si="43"/>
        <v>0.74482352941176477</v>
      </c>
      <c r="M399">
        <f t="shared" si="44"/>
        <v>10.81947546531303</v>
      </c>
      <c r="N399">
        <f t="shared" si="45"/>
        <v>3.5701787995890095</v>
      </c>
      <c r="O399">
        <f t="shared" si="46"/>
        <v>16434.52</v>
      </c>
      <c r="P399">
        <f t="shared" si="47"/>
        <v>71.990198358829602</v>
      </c>
      <c r="Q399" s="4" t="str">
        <f t="shared" si="48"/>
        <v>2025-04</v>
      </c>
    </row>
    <row r="400" spans="1:17" x14ac:dyDescent="0.3">
      <c r="A400" t="s">
        <v>408</v>
      </c>
      <c r="B400" s="2">
        <v>45719</v>
      </c>
      <c r="C400" t="s">
        <v>514</v>
      </c>
      <c r="D400" t="s">
        <v>515</v>
      </c>
      <c r="E400">
        <v>3320.19</v>
      </c>
      <c r="F400">
        <v>3524.25</v>
      </c>
      <c r="G400">
        <v>180485</v>
      </c>
      <c r="H400">
        <v>1392</v>
      </c>
      <c r="I400">
        <v>278</v>
      </c>
      <c r="J400">
        <v>13678.9</v>
      </c>
      <c r="K400">
        <f t="shared" si="42"/>
        <v>7.7125522896639613E-3</v>
      </c>
      <c r="L400">
        <f t="shared" si="43"/>
        <v>2.5317887931034484</v>
      </c>
      <c r="M400">
        <f t="shared" si="44"/>
        <v>12.677158273381295</v>
      </c>
      <c r="N400">
        <f t="shared" si="45"/>
        <v>3.8813648293963254</v>
      </c>
      <c r="O400">
        <f t="shared" si="46"/>
        <v>10154.65</v>
      </c>
      <c r="P400">
        <f t="shared" si="47"/>
        <v>74.235866919123623</v>
      </c>
      <c r="Q400" s="4" t="str">
        <f t="shared" si="48"/>
        <v>2025-03</v>
      </c>
    </row>
    <row r="401" spans="1:17" x14ac:dyDescent="0.3">
      <c r="A401" t="s">
        <v>409</v>
      </c>
      <c r="B401" s="2">
        <v>45722</v>
      </c>
      <c r="C401" t="s">
        <v>510</v>
      </c>
      <c r="D401" t="s">
        <v>517</v>
      </c>
      <c r="E401">
        <v>9782.14</v>
      </c>
      <c r="F401">
        <v>10025.67</v>
      </c>
      <c r="G401">
        <v>149220</v>
      </c>
      <c r="H401">
        <v>5688</v>
      </c>
      <c r="I401">
        <v>531</v>
      </c>
      <c r="J401">
        <v>12692.27</v>
      </c>
      <c r="K401">
        <f t="shared" si="42"/>
        <v>3.8118214716525933E-2</v>
      </c>
      <c r="L401">
        <f t="shared" si="43"/>
        <v>1.7626002109704642</v>
      </c>
      <c r="M401">
        <f t="shared" si="44"/>
        <v>18.880734463276838</v>
      </c>
      <c r="N401">
        <f t="shared" si="45"/>
        <v>1.2659772364340738</v>
      </c>
      <c r="O401">
        <f t="shared" si="46"/>
        <v>2666.6000000000004</v>
      </c>
      <c r="P401">
        <f t="shared" si="47"/>
        <v>21.009638149834508</v>
      </c>
      <c r="Q401" s="4" t="str">
        <f t="shared" si="48"/>
        <v>2025-03</v>
      </c>
    </row>
    <row r="402" spans="1:17" x14ac:dyDescent="0.3">
      <c r="A402" t="s">
        <v>410</v>
      </c>
      <c r="B402" s="2">
        <v>45771</v>
      </c>
      <c r="C402" t="s">
        <v>513</v>
      </c>
      <c r="D402" t="s">
        <v>516</v>
      </c>
      <c r="E402">
        <v>8307.84</v>
      </c>
      <c r="F402">
        <v>6707.55</v>
      </c>
      <c r="G402">
        <v>128069</v>
      </c>
      <c r="H402">
        <v>2283</v>
      </c>
      <c r="I402">
        <v>270</v>
      </c>
      <c r="J402">
        <v>5579.2</v>
      </c>
      <c r="K402">
        <f t="shared" si="42"/>
        <v>1.7826327995065162E-2</v>
      </c>
      <c r="L402">
        <f t="shared" si="43"/>
        <v>2.938042049934297</v>
      </c>
      <c r="M402">
        <f t="shared" si="44"/>
        <v>24.84277777777778</v>
      </c>
      <c r="N402">
        <f t="shared" si="45"/>
        <v>0.83177911457983911</v>
      </c>
      <c r="O402">
        <f t="shared" si="46"/>
        <v>-1128.3500000000004</v>
      </c>
      <c r="P402">
        <f t="shared" si="47"/>
        <v>-20.224225695440214</v>
      </c>
      <c r="Q402" s="4" t="str">
        <f t="shared" si="48"/>
        <v>2025-04</v>
      </c>
    </row>
    <row r="403" spans="1:17" x14ac:dyDescent="0.3">
      <c r="A403" t="s">
        <v>411</v>
      </c>
      <c r="B403" s="2">
        <v>45705</v>
      </c>
      <c r="C403" t="s">
        <v>513</v>
      </c>
      <c r="D403" t="s">
        <v>515</v>
      </c>
      <c r="E403">
        <v>5265.27</v>
      </c>
      <c r="F403">
        <v>4984.07</v>
      </c>
      <c r="G403">
        <v>50640</v>
      </c>
      <c r="H403">
        <v>1609</v>
      </c>
      <c r="I403">
        <v>321</v>
      </c>
      <c r="J403">
        <v>13839.02</v>
      </c>
      <c r="K403">
        <f t="shared" si="42"/>
        <v>3.1773301737756714E-2</v>
      </c>
      <c r="L403">
        <f t="shared" si="43"/>
        <v>3.097619639527657</v>
      </c>
      <c r="M403">
        <f t="shared" si="44"/>
        <v>15.526697819314641</v>
      </c>
      <c r="N403">
        <f t="shared" si="45"/>
        <v>2.7766504082005272</v>
      </c>
      <c r="O403">
        <f t="shared" si="46"/>
        <v>8854.9500000000007</v>
      </c>
      <c r="P403">
        <f t="shared" si="47"/>
        <v>63.985383358070159</v>
      </c>
      <c r="Q403" s="4" t="str">
        <f t="shared" si="48"/>
        <v>2025-02</v>
      </c>
    </row>
    <row r="404" spans="1:17" x14ac:dyDescent="0.3">
      <c r="A404" t="s">
        <v>412</v>
      </c>
      <c r="B404" s="2">
        <v>45802</v>
      </c>
      <c r="C404" t="s">
        <v>511</v>
      </c>
      <c r="D404" t="s">
        <v>518</v>
      </c>
      <c r="E404">
        <v>7783.07</v>
      </c>
      <c r="F404">
        <v>7267.6</v>
      </c>
      <c r="G404">
        <v>159631</v>
      </c>
      <c r="H404">
        <v>5836</v>
      </c>
      <c r="I404">
        <v>861</v>
      </c>
      <c r="J404">
        <v>24287.78</v>
      </c>
      <c r="K404">
        <f t="shared" si="42"/>
        <v>3.6559314920034329E-2</v>
      </c>
      <c r="L404">
        <f t="shared" si="43"/>
        <v>1.2453050034270048</v>
      </c>
      <c r="M404">
        <f t="shared" si="44"/>
        <v>8.4408826945412319</v>
      </c>
      <c r="N404">
        <f t="shared" si="45"/>
        <v>3.341925807694424</v>
      </c>
      <c r="O404">
        <f t="shared" si="46"/>
        <v>17020.18</v>
      </c>
      <c r="P404">
        <f t="shared" si="47"/>
        <v>70.077133439120416</v>
      </c>
      <c r="Q404" s="4" t="str">
        <f t="shared" si="48"/>
        <v>2025-05</v>
      </c>
    </row>
    <row r="405" spans="1:17" x14ac:dyDescent="0.3">
      <c r="A405" t="s">
        <v>413</v>
      </c>
      <c r="B405" s="2">
        <v>45652</v>
      </c>
      <c r="C405" t="s">
        <v>514</v>
      </c>
      <c r="D405" t="s">
        <v>518</v>
      </c>
      <c r="E405">
        <v>9979.8700000000008</v>
      </c>
      <c r="F405">
        <v>9259.8700000000008</v>
      </c>
      <c r="G405">
        <v>92070</v>
      </c>
      <c r="H405">
        <v>2984</v>
      </c>
      <c r="I405">
        <v>369</v>
      </c>
      <c r="J405">
        <v>12376.85</v>
      </c>
      <c r="K405">
        <f t="shared" si="42"/>
        <v>3.2410122732703377E-2</v>
      </c>
      <c r="L405">
        <f t="shared" si="43"/>
        <v>3.1031735924932979</v>
      </c>
      <c r="M405">
        <f t="shared" si="44"/>
        <v>25.094498644986452</v>
      </c>
      <c r="N405">
        <f t="shared" si="45"/>
        <v>1.3366116370964169</v>
      </c>
      <c r="O405">
        <f t="shared" si="46"/>
        <v>3116.9799999999996</v>
      </c>
      <c r="P405">
        <f t="shared" si="47"/>
        <v>25.183952298040289</v>
      </c>
      <c r="Q405" s="4" t="str">
        <f t="shared" si="48"/>
        <v>2024-12</v>
      </c>
    </row>
    <row r="406" spans="1:17" x14ac:dyDescent="0.3">
      <c r="A406" t="s">
        <v>414</v>
      </c>
      <c r="B406" s="2">
        <v>45818</v>
      </c>
      <c r="C406" t="s">
        <v>511</v>
      </c>
      <c r="D406" t="s">
        <v>517</v>
      </c>
      <c r="E406">
        <v>4145.37</v>
      </c>
      <c r="F406">
        <v>4304.7299999999996</v>
      </c>
      <c r="G406">
        <v>138224</v>
      </c>
      <c r="H406">
        <v>4150</v>
      </c>
      <c r="I406">
        <v>232</v>
      </c>
      <c r="J406">
        <v>9468.0300000000007</v>
      </c>
      <c r="K406">
        <f t="shared" si="42"/>
        <v>3.0023729598333139E-2</v>
      </c>
      <c r="L406">
        <f t="shared" si="43"/>
        <v>1.0372843373493974</v>
      </c>
      <c r="M406">
        <f t="shared" si="44"/>
        <v>18.554870689655171</v>
      </c>
      <c r="N406">
        <f t="shared" si="45"/>
        <v>2.1994480490065582</v>
      </c>
      <c r="O406">
        <f t="shared" si="46"/>
        <v>5163.3000000000011</v>
      </c>
      <c r="P406">
        <f t="shared" si="47"/>
        <v>54.534047737491335</v>
      </c>
      <c r="Q406" s="4" t="str">
        <f t="shared" si="48"/>
        <v>2025-06</v>
      </c>
    </row>
    <row r="407" spans="1:17" x14ac:dyDescent="0.3">
      <c r="A407" t="s">
        <v>415</v>
      </c>
      <c r="B407" s="2">
        <v>45696</v>
      </c>
      <c r="C407" t="s">
        <v>512</v>
      </c>
      <c r="D407" t="s">
        <v>515</v>
      </c>
      <c r="E407">
        <v>4545.3900000000003</v>
      </c>
      <c r="F407">
        <v>3748.65</v>
      </c>
      <c r="G407">
        <v>63940</v>
      </c>
      <c r="H407">
        <v>2107</v>
      </c>
      <c r="I407">
        <v>352</v>
      </c>
      <c r="J407">
        <v>14226.07</v>
      </c>
      <c r="K407">
        <f t="shared" si="42"/>
        <v>3.2952768220206444E-2</v>
      </c>
      <c r="L407">
        <f t="shared" si="43"/>
        <v>1.779140958709065</v>
      </c>
      <c r="M407">
        <f t="shared" si="44"/>
        <v>10.649573863636364</v>
      </c>
      <c r="N407">
        <f t="shared" si="45"/>
        <v>3.7949848612167045</v>
      </c>
      <c r="O407">
        <f t="shared" si="46"/>
        <v>10477.42</v>
      </c>
      <c r="P407">
        <f t="shared" si="47"/>
        <v>73.649433750853191</v>
      </c>
      <c r="Q407" s="4" t="str">
        <f t="shared" si="48"/>
        <v>2025-02</v>
      </c>
    </row>
    <row r="408" spans="1:17" x14ac:dyDescent="0.3">
      <c r="A408" t="s">
        <v>416</v>
      </c>
      <c r="B408" s="2">
        <v>45803</v>
      </c>
      <c r="C408" t="s">
        <v>512</v>
      </c>
      <c r="D408" t="s">
        <v>518</v>
      </c>
      <c r="E408">
        <v>7581.58</v>
      </c>
      <c r="F408">
        <v>6686.79</v>
      </c>
      <c r="G408">
        <v>192599</v>
      </c>
      <c r="H408">
        <v>7700</v>
      </c>
      <c r="I408">
        <v>1117</v>
      </c>
      <c r="J408">
        <v>54203.44</v>
      </c>
      <c r="K408">
        <f t="shared" si="42"/>
        <v>3.9979439145582274E-2</v>
      </c>
      <c r="L408">
        <f t="shared" si="43"/>
        <v>0.86841428571428569</v>
      </c>
      <c r="M408">
        <f t="shared" si="44"/>
        <v>5.986383169203223</v>
      </c>
      <c r="N408">
        <f t="shared" si="45"/>
        <v>8.1060478944306613</v>
      </c>
      <c r="O408">
        <f t="shared" si="46"/>
        <v>47516.65</v>
      </c>
      <c r="P408">
        <f t="shared" si="47"/>
        <v>87.663532056268011</v>
      </c>
      <c r="Q408" s="4" t="str">
        <f t="shared" si="48"/>
        <v>2025-05</v>
      </c>
    </row>
    <row r="409" spans="1:17" x14ac:dyDescent="0.3">
      <c r="A409" t="s">
        <v>417</v>
      </c>
      <c r="B409" s="2">
        <v>45800</v>
      </c>
      <c r="C409" t="s">
        <v>511</v>
      </c>
      <c r="D409" t="s">
        <v>516</v>
      </c>
      <c r="E409">
        <v>4057.41</v>
      </c>
      <c r="F409">
        <v>3772.18</v>
      </c>
      <c r="G409">
        <v>65526</v>
      </c>
      <c r="H409">
        <v>2744</v>
      </c>
      <c r="I409">
        <v>447</v>
      </c>
      <c r="J409">
        <v>21593.89</v>
      </c>
      <c r="K409">
        <f t="shared" si="42"/>
        <v>4.1876507035375272E-2</v>
      </c>
      <c r="L409">
        <f t="shared" si="43"/>
        <v>1.374701166180758</v>
      </c>
      <c r="M409">
        <f t="shared" si="44"/>
        <v>8.4388814317673368</v>
      </c>
      <c r="N409">
        <f t="shared" si="45"/>
        <v>5.7245120858495619</v>
      </c>
      <c r="O409">
        <f t="shared" si="46"/>
        <v>17821.71</v>
      </c>
      <c r="P409">
        <f t="shared" si="47"/>
        <v>82.531262315404959</v>
      </c>
      <c r="Q409" s="4" t="str">
        <f t="shared" si="48"/>
        <v>2025-05</v>
      </c>
    </row>
    <row r="410" spans="1:17" x14ac:dyDescent="0.3">
      <c r="A410" t="s">
        <v>418</v>
      </c>
      <c r="B410" s="2">
        <v>45754</v>
      </c>
      <c r="C410" t="s">
        <v>510</v>
      </c>
      <c r="D410" t="s">
        <v>515</v>
      </c>
      <c r="E410">
        <v>5938.09</v>
      </c>
      <c r="F410">
        <v>5887.96</v>
      </c>
      <c r="G410">
        <v>149688</v>
      </c>
      <c r="H410">
        <v>5146</v>
      </c>
      <c r="I410">
        <v>512</v>
      </c>
      <c r="J410">
        <v>16347.05</v>
      </c>
      <c r="K410">
        <f t="shared" si="42"/>
        <v>3.4378173267062155E-2</v>
      </c>
      <c r="L410">
        <f t="shared" si="43"/>
        <v>1.1441818888457054</v>
      </c>
      <c r="M410">
        <f t="shared" si="44"/>
        <v>11.499921875</v>
      </c>
      <c r="N410">
        <f t="shared" si="45"/>
        <v>2.7763520811962037</v>
      </c>
      <c r="O410">
        <f t="shared" si="46"/>
        <v>10459.09</v>
      </c>
      <c r="P410">
        <f t="shared" si="47"/>
        <v>63.981513484084282</v>
      </c>
      <c r="Q410" s="4" t="str">
        <f t="shared" si="48"/>
        <v>2025-04</v>
      </c>
    </row>
    <row r="411" spans="1:17" x14ac:dyDescent="0.3">
      <c r="A411" t="s">
        <v>419</v>
      </c>
      <c r="B411" s="2">
        <v>45675</v>
      </c>
      <c r="C411" t="s">
        <v>510</v>
      </c>
      <c r="D411" t="s">
        <v>517</v>
      </c>
      <c r="E411">
        <v>4919.51</v>
      </c>
      <c r="F411">
        <v>5387.81</v>
      </c>
      <c r="G411">
        <v>118998</v>
      </c>
      <c r="H411">
        <v>1453</v>
      </c>
      <c r="I411">
        <v>106</v>
      </c>
      <c r="J411">
        <v>3421.68</v>
      </c>
      <c r="K411">
        <f t="shared" si="42"/>
        <v>1.2210289248558799E-2</v>
      </c>
      <c r="L411">
        <f t="shared" si="43"/>
        <v>3.7080591878871303</v>
      </c>
      <c r="M411">
        <f t="shared" si="44"/>
        <v>50.828396226415101</v>
      </c>
      <c r="N411">
        <f t="shared" si="45"/>
        <v>0.6350780743938631</v>
      </c>
      <c r="O411">
        <f t="shared" si="46"/>
        <v>-1966.1300000000006</v>
      </c>
      <c r="P411">
        <f t="shared" si="47"/>
        <v>-57.460954852587051</v>
      </c>
      <c r="Q411" s="4" t="str">
        <f t="shared" si="48"/>
        <v>2025-01</v>
      </c>
    </row>
    <row r="412" spans="1:17" x14ac:dyDescent="0.3">
      <c r="A412" t="s">
        <v>420</v>
      </c>
      <c r="B412" s="2">
        <v>45687</v>
      </c>
      <c r="C412" t="s">
        <v>511</v>
      </c>
      <c r="D412" t="s">
        <v>515</v>
      </c>
      <c r="E412">
        <v>9258.69</v>
      </c>
      <c r="F412">
        <v>8045.68</v>
      </c>
      <c r="G412">
        <v>115280</v>
      </c>
      <c r="H412">
        <v>3264</v>
      </c>
      <c r="I412">
        <v>281</v>
      </c>
      <c r="J412">
        <v>7416.47</v>
      </c>
      <c r="K412">
        <f t="shared" si="42"/>
        <v>2.8313671061762666E-2</v>
      </c>
      <c r="L412">
        <f t="shared" si="43"/>
        <v>2.4649754901960783</v>
      </c>
      <c r="M412">
        <f t="shared" si="44"/>
        <v>28.632313167259788</v>
      </c>
      <c r="N412">
        <f t="shared" si="45"/>
        <v>0.92179529884360301</v>
      </c>
      <c r="O412">
        <f t="shared" si="46"/>
        <v>-629.21</v>
      </c>
      <c r="P412">
        <f t="shared" si="47"/>
        <v>-8.483955304882242</v>
      </c>
      <c r="Q412" s="4" t="str">
        <f t="shared" si="48"/>
        <v>2025-01</v>
      </c>
    </row>
    <row r="413" spans="1:17" x14ac:dyDescent="0.3">
      <c r="A413" t="s">
        <v>421</v>
      </c>
      <c r="B413" s="2">
        <v>45727</v>
      </c>
      <c r="C413" t="s">
        <v>514</v>
      </c>
      <c r="D413" t="s">
        <v>515</v>
      </c>
      <c r="E413">
        <v>3217.94</v>
      </c>
      <c r="F413">
        <v>3203.46</v>
      </c>
      <c r="G413">
        <v>129278</v>
      </c>
      <c r="H413">
        <v>5246</v>
      </c>
      <c r="I413">
        <v>346</v>
      </c>
      <c r="J413">
        <v>10745.3</v>
      </c>
      <c r="K413">
        <f t="shared" si="42"/>
        <v>4.0579216881449283E-2</v>
      </c>
      <c r="L413">
        <f t="shared" si="43"/>
        <v>0.61064811284788412</v>
      </c>
      <c r="M413">
        <f t="shared" si="44"/>
        <v>9.2585549132947982</v>
      </c>
      <c r="N413">
        <f t="shared" si="45"/>
        <v>3.3542794353605161</v>
      </c>
      <c r="O413">
        <f t="shared" si="46"/>
        <v>7541.8399999999992</v>
      </c>
      <c r="P413">
        <f t="shared" si="47"/>
        <v>70.187337719747234</v>
      </c>
      <c r="Q413" s="4" t="str">
        <f t="shared" si="48"/>
        <v>2025-03</v>
      </c>
    </row>
    <row r="414" spans="1:17" x14ac:dyDescent="0.3">
      <c r="A414" t="s">
        <v>422</v>
      </c>
      <c r="B414" s="2">
        <v>45796</v>
      </c>
      <c r="C414" t="s">
        <v>512</v>
      </c>
      <c r="D414" t="s">
        <v>516</v>
      </c>
      <c r="E414">
        <v>9050.51</v>
      </c>
      <c r="F414">
        <v>8525.25</v>
      </c>
      <c r="G414">
        <v>113951</v>
      </c>
      <c r="H414">
        <v>4911</v>
      </c>
      <c r="I414">
        <v>623</v>
      </c>
      <c r="J414">
        <v>30555.54</v>
      </c>
      <c r="K414">
        <f t="shared" si="42"/>
        <v>4.3097471720300831E-2</v>
      </c>
      <c r="L414">
        <f t="shared" si="43"/>
        <v>1.7359499083689676</v>
      </c>
      <c r="M414">
        <f t="shared" si="44"/>
        <v>13.684189406099518</v>
      </c>
      <c r="N414">
        <f t="shared" si="45"/>
        <v>3.5841224597519137</v>
      </c>
      <c r="O414">
        <f t="shared" si="46"/>
        <v>22030.29</v>
      </c>
      <c r="P414">
        <f t="shared" si="47"/>
        <v>72.099167614121697</v>
      </c>
      <c r="Q414" s="4" t="str">
        <f t="shared" si="48"/>
        <v>2025-05</v>
      </c>
    </row>
    <row r="415" spans="1:17" x14ac:dyDescent="0.3">
      <c r="A415" t="s">
        <v>423</v>
      </c>
      <c r="B415" s="2">
        <v>45709</v>
      </c>
      <c r="C415" t="s">
        <v>513</v>
      </c>
      <c r="D415" t="s">
        <v>515</v>
      </c>
      <c r="E415">
        <v>4298.68</v>
      </c>
      <c r="F415">
        <v>4559.12</v>
      </c>
      <c r="G415">
        <v>160215</v>
      </c>
      <c r="H415">
        <v>4360</v>
      </c>
      <c r="I415">
        <v>734</v>
      </c>
      <c r="J415">
        <v>31780.66</v>
      </c>
      <c r="K415">
        <f t="shared" si="42"/>
        <v>2.7213431950816092E-2</v>
      </c>
      <c r="L415">
        <f t="shared" si="43"/>
        <v>1.0456697247706421</v>
      </c>
      <c r="M415">
        <f t="shared" si="44"/>
        <v>6.2113351498637597</v>
      </c>
      <c r="N415">
        <f t="shared" si="45"/>
        <v>6.9707882222885118</v>
      </c>
      <c r="O415">
        <f t="shared" si="46"/>
        <v>27221.54</v>
      </c>
      <c r="P415">
        <f t="shared" si="47"/>
        <v>85.654420015191633</v>
      </c>
      <c r="Q415" s="4" t="str">
        <f t="shared" si="48"/>
        <v>2025-02</v>
      </c>
    </row>
    <row r="416" spans="1:17" x14ac:dyDescent="0.3">
      <c r="A416" t="s">
        <v>424</v>
      </c>
      <c r="B416" s="2">
        <v>45793</v>
      </c>
      <c r="C416" t="s">
        <v>514</v>
      </c>
      <c r="D416" t="s">
        <v>516</v>
      </c>
      <c r="E416">
        <v>8396.4500000000007</v>
      </c>
      <c r="F416">
        <v>8845.11</v>
      </c>
      <c r="G416">
        <v>176532</v>
      </c>
      <c r="H416">
        <v>2317</v>
      </c>
      <c r="I416">
        <v>156</v>
      </c>
      <c r="J416">
        <v>6681.59</v>
      </c>
      <c r="K416">
        <f t="shared" si="42"/>
        <v>1.3125099132168671E-2</v>
      </c>
      <c r="L416">
        <f t="shared" si="43"/>
        <v>3.8174838152783774</v>
      </c>
      <c r="M416">
        <f t="shared" si="44"/>
        <v>56.699423076923082</v>
      </c>
      <c r="N416">
        <f t="shared" si="45"/>
        <v>0.75539931103174518</v>
      </c>
      <c r="O416">
        <f t="shared" si="46"/>
        <v>-2163.5200000000004</v>
      </c>
      <c r="P416">
        <f t="shared" si="47"/>
        <v>-32.380316661154012</v>
      </c>
      <c r="Q416" s="4" t="str">
        <f t="shared" si="48"/>
        <v>2025-05</v>
      </c>
    </row>
    <row r="417" spans="1:17" x14ac:dyDescent="0.3">
      <c r="A417" t="s">
        <v>425</v>
      </c>
      <c r="B417" s="2">
        <v>45763</v>
      </c>
      <c r="C417" t="s">
        <v>513</v>
      </c>
      <c r="D417" t="s">
        <v>517</v>
      </c>
      <c r="E417">
        <v>7383.54</v>
      </c>
      <c r="F417">
        <v>6197.55</v>
      </c>
      <c r="G417">
        <v>93893</v>
      </c>
      <c r="H417">
        <v>3140</v>
      </c>
      <c r="I417">
        <v>208</v>
      </c>
      <c r="J417">
        <v>4362.96</v>
      </c>
      <c r="K417">
        <f t="shared" si="42"/>
        <v>3.3442322643860566E-2</v>
      </c>
      <c r="L417">
        <f t="shared" si="43"/>
        <v>1.9737420382165605</v>
      </c>
      <c r="M417">
        <f t="shared" si="44"/>
        <v>29.795913461538461</v>
      </c>
      <c r="N417">
        <f t="shared" si="45"/>
        <v>0.70398141200958442</v>
      </c>
      <c r="O417">
        <f t="shared" si="46"/>
        <v>-1834.5900000000001</v>
      </c>
      <c r="P417">
        <f t="shared" si="47"/>
        <v>-42.049205126794661</v>
      </c>
      <c r="Q417" s="4" t="str">
        <f t="shared" si="48"/>
        <v>2025-04</v>
      </c>
    </row>
    <row r="418" spans="1:17" x14ac:dyDescent="0.3">
      <c r="A418" t="s">
        <v>426</v>
      </c>
      <c r="B418" s="2">
        <v>45748</v>
      </c>
      <c r="C418" t="s">
        <v>513</v>
      </c>
      <c r="D418" t="s">
        <v>518</v>
      </c>
      <c r="E418">
        <v>9445.93</v>
      </c>
      <c r="F418">
        <v>9304.19</v>
      </c>
      <c r="G418">
        <v>70743</v>
      </c>
      <c r="H418">
        <v>1210</v>
      </c>
      <c r="I418">
        <v>52</v>
      </c>
      <c r="J418">
        <v>2282.6</v>
      </c>
      <c r="K418">
        <f t="shared" si="42"/>
        <v>1.710416578318703E-2</v>
      </c>
      <c r="L418">
        <f t="shared" si="43"/>
        <v>7.6894132231404964</v>
      </c>
      <c r="M418">
        <f t="shared" si="44"/>
        <v>178.92673076923077</v>
      </c>
      <c r="N418">
        <f t="shared" si="45"/>
        <v>0.24533032966867613</v>
      </c>
      <c r="O418">
        <f t="shared" si="46"/>
        <v>-7021.59</v>
      </c>
      <c r="P418">
        <f t="shared" si="47"/>
        <v>-307.6136861473758</v>
      </c>
      <c r="Q418" s="4" t="str">
        <f t="shared" si="48"/>
        <v>2025-04</v>
      </c>
    </row>
    <row r="419" spans="1:17" x14ac:dyDescent="0.3">
      <c r="A419" t="s">
        <v>427</v>
      </c>
      <c r="B419" s="2">
        <v>45690</v>
      </c>
      <c r="C419" t="s">
        <v>514</v>
      </c>
      <c r="D419" t="s">
        <v>516</v>
      </c>
      <c r="E419">
        <v>6370.66</v>
      </c>
      <c r="F419">
        <v>5320.73</v>
      </c>
      <c r="G419">
        <v>84061</v>
      </c>
      <c r="H419">
        <v>1539</v>
      </c>
      <c r="I419">
        <v>177</v>
      </c>
      <c r="J419">
        <v>4204.74</v>
      </c>
      <c r="K419">
        <f t="shared" si="42"/>
        <v>1.8308133379331674E-2</v>
      </c>
      <c r="L419">
        <f t="shared" si="43"/>
        <v>3.4572644574398956</v>
      </c>
      <c r="M419">
        <f t="shared" si="44"/>
        <v>30.060621468926552</v>
      </c>
      <c r="N419">
        <f t="shared" si="45"/>
        <v>0.79025622423990693</v>
      </c>
      <c r="O419">
        <f t="shared" si="46"/>
        <v>-1115.9899999999998</v>
      </c>
      <c r="P419">
        <f t="shared" si="47"/>
        <v>-26.541236794665064</v>
      </c>
      <c r="Q419" s="4" t="str">
        <f t="shared" si="48"/>
        <v>2025-02</v>
      </c>
    </row>
    <row r="420" spans="1:17" x14ac:dyDescent="0.3">
      <c r="A420" t="s">
        <v>428</v>
      </c>
      <c r="B420" s="2">
        <v>45744</v>
      </c>
      <c r="C420" t="s">
        <v>511</v>
      </c>
      <c r="D420" t="s">
        <v>517</v>
      </c>
      <c r="E420">
        <v>7798.96</v>
      </c>
      <c r="F420">
        <v>7245.95</v>
      </c>
      <c r="G420">
        <v>108436</v>
      </c>
      <c r="H420">
        <v>3545</v>
      </c>
      <c r="I420">
        <v>81</v>
      </c>
      <c r="J420">
        <v>2107.2800000000002</v>
      </c>
      <c r="K420">
        <f t="shared" si="42"/>
        <v>3.2692094876240363E-2</v>
      </c>
      <c r="L420">
        <f t="shared" si="43"/>
        <v>2.0439915373765869</v>
      </c>
      <c r="M420">
        <f t="shared" si="44"/>
        <v>89.456172839506166</v>
      </c>
      <c r="N420">
        <f t="shared" si="45"/>
        <v>0.29082176940221782</v>
      </c>
      <c r="O420">
        <f t="shared" si="46"/>
        <v>-5138.67</v>
      </c>
      <c r="P420">
        <f t="shared" si="47"/>
        <v>-243.8532136213507</v>
      </c>
      <c r="Q420" s="4" t="str">
        <f t="shared" si="48"/>
        <v>2025-03</v>
      </c>
    </row>
    <row r="421" spans="1:17" x14ac:dyDescent="0.3">
      <c r="A421" t="s">
        <v>429</v>
      </c>
      <c r="B421" s="2">
        <v>45688</v>
      </c>
      <c r="C421" t="s">
        <v>513</v>
      </c>
      <c r="D421" t="s">
        <v>517</v>
      </c>
      <c r="E421">
        <v>6441.16</v>
      </c>
      <c r="F421">
        <v>5277</v>
      </c>
      <c r="G421">
        <v>143676</v>
      </c>
      <c r="H421">
        <v>6117</v>
      </c>
      <c r="I421">
        <v>461</v>
      </c>
      <c r="J421">
        <v>17268.66</v>
      </c>
      <c r="K421">
        <f t="shared" si="42"/>
        <v>4.2574960327403322E-2</v>
      </c>
      <c r="L421">
        <f t="shared" si="43"/>
        <v>0.86267778322707211</v>
      </c>
      <c r="M421">
        <f t="shared" si="44"/>
        <v>11.446854663774403</v>
      </c>
      <c r="N421">
        <f t="shared" si="45"/>
        <v>3.2724388857305287</v>
      </c>
      <c r="O421">
        <f t="shared" si="46"/>
        <v>11991.66</v>
      </c>
      <c r="P421">
        <f t="shared" si="47"/>
        <v>69.441751705112026</v>
      </c>
      <c r="Q421" s="4" t="str">
        <f t="shared" si="48"/>
        <v>2025-01</v>
      </c>
    </row>
    <row r="422" spans="1:17" x14ac:dyDescent="0.3">
      <c r="A422" t="s">
        <v>430</v>
      </c>
      <c r="B422" s="2">
        <v>45763</v>
      </c>
      <c r="C422" t="s">
        <v>512</v>
      </c>
      <c r="D422" t="s">
        <v>518</v>
      </c>
      <c r="E422">
        <v>4882.95</v>
      </c>
      <c r="F422">
        <v>5074.6899999999996</v>
      </c>
      <c r="G422">
        <v>76424</v>
      </c>
      <c r="H422">
        <v>1044</v>
      </c>
      <c r="I422">
        <v>91</v>
      </c>
      <c r="J422">
        <v>2667.29</v>
      </c>
      <c r="K422">
        <f t="shared" si="42"/>
        <v>1.3660630168533444E-2</v>
      </c>
      <c r="L422">
        <f t="shared" si="43"/>
        <v>4.8608141762452099</v>
      </c>
      <c r="M422">
        <f t="shared" si="44"/>
        <v>55.765824175824172</v>
      </c>
      <c r="N422">
        <f t="shared" si="45"/>
        <v>0.52560649024866546</v>
      </c>
      <c r="O422">
        <f t="shared" si="46"/>
        <v>-2407.3999999999996</v>
      </c>
      <c r="P422">
        <f t="shared" si="47"/>
        <v>-90.256402565900203</v>
      </c>
      <c r="Q422" s="4" t="str">
        <f t="shared" si="48"/>
        <v>2025-04</v>
      </c>
    </row>
    <row r="423" spans="1:17" x14ac:dyDescent="0.3">
      <c r="A423" t="s">
        <v>431</v>
      </c>
      <c r="B423" s="2">
        <v>45675</v>
      </c>
      <c r="C423" t="s">
        <v>512</v>
      </c>
      <c r="D423" t="s">
        <v>515</v>
      </c>
      <c r="E423">
        <v>6186.54</v>
      </c>
      <c r="F423">
        <v>4970.8</v>
      </c>
      <c r="G423">
        <v>131046</v>
      </c>
      <c r="H423">
        <v>6398</v>
      </c>
      <c r="I423">
        <v>1049</v>
      </c>
      <c r="J423">
        <v>23259.9</v>
      </c>
      <c r="K423">
        <f t="shared" si="42"/>
        <v>4.8822550860003359E-2</v>
      </c>
      <c r="L423">
        <f t="shared" si="43"/>
        <v>0.77693029071584874</v>
      </c>
      <c r="M423">
        <f t="shared" si="44"/>
        <v>4.73860819828408</v>
      </c>
      <c r="N423">
        <f t="shared" si="45"/>
        <v>4.6793071537780637</v>
      </c>
      <c r="O423">
        <f t="shared" si="46"/>
        <v>18289.100000000002</v>
      </c>
      <c r="P423">
        <f t="shared" si="47"/>
        <v>78.629314829384484</v>
      </c>
      <c r="Q423" s="4" t="str">
        <f t="shared" si="48"/>
        <v>2025-01</v>
      </c>
    </row>
    <row r="424" spans="1:17" x14ac:dyDescent="0.3">
      <c r="A424" t="s">
        <v>432</v>
      </c>
      <c r="B424" s="2">
        <v>45795</v>
      </c>
      <c r="C424" t="s">
        <v>514</v>
      </c>
      <c r="D424" t="s">
        <v>515</v>
      </c>
      <c r="E424">
        <v>5747.45</v>
      </c>
      <c r="F424">
        <v>5425.49</v>
      </c>
      <c r="G424">
        <v>69001</v>
      </c>
      <c r="H424">
        <v>2029</v>
      </c>
      <c r="I424">
        <v>320</v>
      </c>
      <c r="J424">
        <v>12160.2</v>
      </c>
      <c r="K424">
        <f t="shared" si="42"/>
        <v>2.9405370936653092E-2</v>
      </c>
      <c r="L424">
        <f t="shared" si="43"/>
        <v>2.6739724001971412</v>
      </c>
      <c r="M424">
        <f t="shared" si="44"/>
        <v>16.954656249999999</v>
      </c>
      <c r="N424">
        <f t="shared" si="45"/>
        <v>2.241309079917206</v>
      </c>
      <c r="O424">
        <f t="shared" si="46"/>
        <v>6734.7100000000009</v>
      </c>
      <c r="P424">
        <f t="shared" si="47"/>
        <v>55.383217381293072</v>
      </c>
      <c r="Q424" s="4" t="str">
        <f t="shared" si="48"/>
        <v>2025-05</v>
      </c>
    </row>
    <row r="425" spans="1:17" x14ac:dyDescent="0.3">
      <c r="A425" t="s">
        <v>433</v>
      </c>
      <c r="B425" s="2">
        <v>45682</v>
      </c>
      <c r="C425" t="s">
        <v>510</v>
      </c>
      <c r="D425" t="s">
        <v>518</v>
      </c>
      <c r="E425">
        <v>5041.6400000000003</v>
      </c>
      <c r="F425">
        <v>5084.47</v>
      </c>
      <c r="G425">
        <v>179928</v>
      </c>
      <c r="H425">
        <v>5522</v>
      </c>
      <c r="I425">
        <v>900</v>
      </c>
      <c r="J425">
        <v>41223.300000000003</v>
      </c>
      <c r="K425">
        <f t="shared" si="42"/>
        <v>3.0690053799297498E-2</v>
      </c>
      <c r="L425">
        <f t="shared" si="43"/>
        <v>0.92076602680188346</v>
      </c>
      <c r="M425">
        <f t="shared" si="44"/>
        <v>5.6494111111111112</v>
      </c>
      <c r="N425">
        <f t="shared" si="45"/>
        <v>8.1076887069842094</v>
      </c>
      <c r="O425">
        <f t="shared" si="46"/>
        <v>36138.83</v>
      </c>
      <c r="P425">
        <f t="shared" si="47"/>
        <v>87.666028677956405</v>
      </c>
      <c r="Q425" s="4" t="str">
        <f t="shared" si="48"/>
        <v>2025-01</v>
      </c>
    </row>
    <row r="426" spans="1:17" x14ac:dyDescent="0.3">
      <c r="A426" t="s">
        <v>434</v>
      </c>
      <c r="B426" s="2">
        <v>45714</v>
      </c>
      <c r="C426" t="s">
        <v>514</v>
      </c>
      <c r="D426" t="s">
        <v>516</v>
      </c>
      <c r="E426">
        <v>8458.9599999999991</v>
      </c>
      <c r="F426">
        <v>6867.71</v>
      </c>
      <c r="G426">
        <v>151737</v>
      </c>
      <c r="H426">
        <v>6324</v>
      </c>
      <c r="I426">
        <v>1140</v>
      </c>
      <c r="J426">
        <v>39233.339999999997</v>
      </c>
      <c r="K426">
        <f t="shared" si="42"/>
        <v>4.1677375986081178E-2</v>
      </c>
      <c r="L426">
        <f t="shared" si="43"/>
        <v>1.0859756483238456</v>
      </c>
      <c r="M426">
        <f t="shared" si="44"/>
        <v>6.02430701754386</v>
      </c>
      <c r="N426">
        <f t="shared" si="45"/>
        <v>5.7127252024328339</v>
      </c>
      <c r="O426">
        <f t="shared" si="46"/>
        <v>32365.629999999997</v>
      </c>
      <c r="P426">
        <f t="shared" si="47"/>
        <v>82.495219626980514</v>
      </c>
      <c r="Q426" s="4" t="str">
        <f t="shared" si="48"/>
        <v>2025-02</v>
      </c>
    </row>
    <row r="427" spans="1:17" x14ac:dyDescent="0.3">
      <c r="A427" t="s">
        <v>435</v>
      </c>
      <c r="B427" s="2">
        <v>45672</v>
      </c>
      <c r="C427" t="s">
        <v>512</v>
      </c>
      <c r="D427" t="s">
        <v>515</v>
      </c>
      <c r="E427">
        <v>3734.51</v>
      </c>
      <c r="F427">
        <v>3258.78</v>
      </c>
      <c r="G427">
        <v>188031</v>
      </c>
      <c r="H427">
        <v>2257</v>
      </c>
      <c r="I427">
        <v>398</v>
      </c>
      <c r="J427">
        <v>19740.75</v>
      </c>
      <c r="K427">
        <f t="shared" si="42"/>
        <v>1.2003339874807877E-2</v>
      </c>
      <c r="L427">
        <f t="shared" si="43"/>
        <v>1.4438546743464777</v>
      </c>
      <c r="M427">
        <f t="shared" si="44"/>
        <v>8.1878894472361807</v>
      </c>
      <c r="N427">
        <f t="shared" si="45"/>
        <v>6.0577117817097195</v>
      </c>
      <c r="O427">
        <f t="shared" si="46"/>
        <v>16481.97</v>
      </c>
      <c r="P427">
        <f t="shared" si="47"/>
        <v>83.492116560920948</v>
      </c>
      <c r="Q427" s="4" t="str">
        <f t="shared" si="48"/>
        <v>2025-01</v>
      </c>
    </row>
    <row r="428" spans="1:17" x14ac:dyDescent="0.3">
      <c r="A428" t="s">
        <v>436</v>
      </c>
      <c r="B428" s="2">
        <v>45759</v>
      </c>
      <c r="C428" t="s">
        <v>510</v>
      </c>
      <c r="D428" t="s">
        <v>516</v>
      </c>
      <c r="E428">
        <v>3997.47</v>
      </c>
      <c r="F428">
        <v>3796.26</v>
      </c>
      <c r="G428">
        <v>55760</v>
      </c>
      <c r="H428">
        <v>2026</v>
      </c>
      <c r="I428">
        <v>179</v>
      </c>
      <c r="J428">
        <v>6899.5</v>
      </c>
      <c r="K428">
        <f t="shared" si="42"/>
        <v>3.6334289813486367E-2</v>
      </c>
      <c r="L428">
        <f t="shared" si="43"/>
        <v>1.873770977295163</v>
      </c>
      <c r="M428">
        <f t="shared" si="44"/>
        <v>21.208156424581006</v>
      </c>
      <c r="N428">
        <f t="shared" si="45"/>
        <v>1.8174466448557263</v>
      </c>
      <c r="O428">
        <f t="shared" si="46"/>
        <v>3103.24</v>
      </c>
      <c r="P428">
        <f t="shared" si="47"/>
        <v>44.977752011015291</v>
      </c>
      <c r="Q428" s="4" t="str">
        <f t="shared" si="48"/>
        <v>2025-04</v>
      </c>
    </row>
    <row r="429" spans="1:17" x14ac:dyDescent="0.3">
      <c r="A429" t="s">
        <v>437</v>
      </c>
      <c r="B429" s="2">
        <v>45799</v>
      </c>
      <c r="C429" t="s">
        <v>514</v>
      </c>
      <c r="D429" t="s">
        <v>515</v>
      </c>
      <c r="E429">
        <v>7917.25</v>
      </c>
      <c r="F429">
        <v>7663.06</v>
      </c>
      <c r="G429">
        <v>94851</v>
      </c>
      <c r="H429">
        <v>2639</v>
      </c>
      <c r="I429">
        <v>396</v>
      </c>
      <c r="J429">
        <v>8036.08</v>
      </c>
      <c r="K429">
        <f t="shared" si="42"/>
        <v>2.7822584896311058E-2</v>
      </c>
      <c r="L429">
        <f t="shared" si="43"/>
        <v>2.9037741568776054</v>
      </c>
      <c r="M429">
        <f t="shared" si="44"/>
        <v>19.351161616161619</v>
      </c>
      <c r="N429">
        <f t="shared" si="45"/>
        <v>1.0486776822835786</v>
      </c>
      <c r="O429">
        <f t="shared" si="46"/>
        <v>373.01999999999953</v>
      </c>
      <c r="P429">
        <f t="shared" si="47"/>
        <v>4.6418154124896658</v>
      </c>
      <c r="Q429" s="4" t="str">
        <f t="shared" si="48"/>
        <v>2025-05</v>
      </c>
    </row>
    <row r="430" spans="1:17" x14ac:dyDescent="0.3">
      <c r="A430" t="s">
        <v>438</v>
      </c>
      <c r="B430" s="2">
        <v>45804</v>
      </c>
      <c r="C430" t="s">
        <v>511</v>
      </c>
      <c r="D430" t="s">
        <v>516</v>
      </c>
      <c r="E430">
        <v>5285.23</v>
      </c>
      <c r="F430">
        <v>5049.05</v>
      </c>
      <c r="G430">
        <v>134423</v>
      </c>
      <c r="H430">
        <v>2548</v>
      </c>
      <c r="I430">
        <v>363</v>
      </c>
      <c r="J430">
        <v>8216.8700000000008</v>
      </c>
      <c r="K430">
        <f t="shared" si="42"/>
        <v>1.895508953080946E-2</v>
      </c>
      <c r="L430">
        <f t="shared" si="43"/>
        <v>1.9815737833594977</v>
      </c>
      <c r="M430">
        <f t="shared" si="44"/>
        <v>13.909228650137742</v>
      </c>
      <c r="N430">
        <f t="shared" si="45"/>
        <v>1.6274091165664828</v>
      </c>
      <c r="O430">
        <f t="shared" si="46"/>
        <v>3167.8200000000006</v>
      </c>
      <c r="P430">
        <f t="shared" si="47"/>
        <v>38.5526362227953</v>
      </c>
      <c r="Q430" s="4" t="str">
        <f t="shared" si="48"/>
        <v>2025-05</v>
      </c>
    </row>
    <row r="431" spans="1:17" x14ac:dyDescent="0.3">
      <c r="A431" t="s">
        <v>439</v>
      </c>
      <c r="B431" s="2">
        <v>45713</v>
      </c>
      <c r="C431" t="s">
        <v>513</v>
      </c>
      <c r="D431" t="s">
        <v>517</v>
      </c>
      <c r="E431">
        <v>5454.39</v>
      </c>
      <c r="F431">
        <v>4417.84</v>
      </c>
      <c r="G431">
        <v>111462</v>
      </c>
      <c r="H431">
        <v>5187</v>
      </c>
      <c r="I431">
        <v>280</v>
      </c>
      <c r="J431">
        <v>6260.06</v>
      </c>
      <c r="K431">
        <f t="shared" si="42"/>
        <v>4.6536039188243526E-2</v>
      </c>
      <c r="L431">
        <f t="shared" si="43"/>
        <v>0.85171390013495274</v>
      </c>
      <c r="M431">
        <f t="shared" si="44"/>
        <v>15.778</v>
      </c>
      <c r="N431">
        <f t="shared" si="45"/>
        <v>1.416995635876356</v>
      </c>
      <c r="O431">
        <f t="shared" si="46"/>
        <v>1842.2200000000003</v>
      </c>
      <c r="P431">
        <f t="shared" si="47"/>
        <v>29.428152445823201</v>
      </c>
      <c r="Q431" s="4" t="str">
        <f t="shared" si="48"/>
        <v>2025-02</v>
      </c>
    </row>
    <row r="432" spans="1:17" x14ac:dyDescent="0.3">
      <c r="A432" t="s">
        <v>440</v>
      </c>
      <c r="B432" s="2">
        <v>45697</v>
      </c>
      <c r="C432" t="s">
        <v>512</v>
      </c>
      <c r="D432" t="s">
        <v>516</v>
      </c>
      <c r="E432">
        <v>5778.46</v>
      </c>
      <c r="F432">
        <v>4852.84</v>
      </c>
      <c r="G432">
        <v>102748</v>
      </c>
      <c r="H432">
        <v>1293</v>
      </c>
      <c r="I432">
        <v>60</v>
      </c>
      <c r="J432">
        <v>2221.5700000000002</v>
      </c>
      <c r="K432">
        <f t="shared" si="42"/>
        <v>1.2584186553509557E-2</v>
      </c>
      <c r="L432">
        <f t="shared" si="43"/>
        <v>3.7531631863882446</v>
      </c>
      <c r="M432">
        <f t="shared" si="44"/>
        <v>80.88066666666667</v>
      </c>
      <c r="N432">
        <f t="shared" si="45"/>
        <v>0.45778760478400277</v>
      </c>
      <c r="O432">
        <f t="shared" si="46"/>
        <v>-2631.27</v>
      </c>
      <c r="P432">
        <f t="shared" si="47"/>
        <v>-118.44191270137784</v>
      </c>
      <c r="Q432" s="4" t="str">
        <f t="shared" si="48"/>
        <v>2025-02</v>
      </c>
    </row>
    <row r="433" spans="1:17" x14ac:dyDescent="0.3">
      <c r="A433" t="s">
        <v>441</v>
      </c>
      <c r="B433" s="2">
        <v>45768</v>
      </c>
      <c r="C433" t="s">
        <v>510</v>
      </c>
      <c r="D433" t="s">
        <v>517</v>
      </c>
      <c r="E433">
        <v>7826.25</v>
      </c>
      <c r="F433">
        <v>8140.68</v>
      </c>
      <c r="G433">
        <v>180765</v>
      </c>
      <c r="H433">
        <v>5270</v>
      </c>
      <c r="I433">
        <v>513</v>
      </c>
      <c r="J433">
        <v>13340.31</v>
      </c>
      <c r="K433">
        <f t="shared" si="42"/>
        <v>2.915387381406799E-2</v>
      </c>
      <c r="L433">
        <f t="shared" si="43"/>
        <v>1.5447210626185959</v>
      </c>
      <c r="M433">
        <f t="shared" si="44"/>
        <v>15.868771929824561</v>
      </c>
      <c r="N433">
        <f t="shared" si="45"/>
        <v>1.6387218266778696</v>
      </c>
      <c r="O433">
        <f t="shared" si="46"/>
        <v>5199.6299999999992</v>
      </c>
      <c r="P433">
        <f t="shared" si="47"/>
        <v>38.976830373507063</v>
      </c>
      <c r="Q433" s="4" t="str">
        <f t="shared" si="48"/>
        <v>2025-04</v>
      </c>
    </row>
    <row r="434" spans="1:17" x14ac:dyDescent="0.3">
      <c r="A434" t="s">
        <v>442</v>
      </c>
      <c r="B434" s="2">
        <v>45748</v>
      </c>
      <c r="C434" t="s">
        <v>510</v>
      </c>
      <c r="D434" t="s">
        <v>516</v>
      </c>
      <c r="E434">
        <v>4172.38</v>
      </c>
      <c r="F434">
        <v>3468.79</v>
      </c>
      <c r="G434">
        <v>143614</v>
      </c>
      <c r="H434">
        <v>4002</v>
      </c>
      <c r="I434">
        <v>362</v>
      </c>
      <c r="J434">
        <v>14151.63</v>
      </c>
      <c r="K434">
        <f t="shared" si="42"/>
        <v>2.7866364003509406E-2</v>
      </c>
      <c r="L434">
        <f t="shared" si="43"/>
        <v>0.86676411794102948</v>
      </c>
      <c r="M434">
        <f t="shared" si="44"/>
        <v>9.5822928176795585</v>
      </c>
      <c r="N434">
        <f t="shared" si="45"/>
        <v>4.0797021439752763</v>
      </c>
      <c r="O434">
        <f t="shared" si="46"/>
        <v>10682.84</v>
      </c>
      <c r="P434">
        <f t="shared" si="47"/>
        <v>75.488406635843361</v>
      </c>
      <c r="Q434" s="4" t="str">
        <f t="shared" si="48"/>
        <v>2025-04</v>
      </c>
    </row>
    <row r="435" spans="1:17" x14ac:dyDescent="0.3">
      <c r="A435" t="s">
        <v>443</v>
      </c>
      <c r="B435" s="2">
        <v>45804</v>
      </c>
      <c r="C435" t="s">
        <v>511</v>
      </c>
      <c r="D435" t="s">
        <v>517</v>
      </c>
      <c r="E435">
        <v>7945.33</v>
      </c>
      <c r="F435">
        <v>6431.55</v>
      </c>
      <c r="G435">
        <v>174898</v>
      </c>
      <c r="H435">
        <v>7877</v>
      </c>
      <c r="I435">
        <v>806</v>
      </c>
      <c r="J435">
        <v>38757.61</v>
      </c>
      <c r="K435">
        <f t="shared" si="42"/>
        <v>4.5037679104392277E-2</v>
      </c>
      <c r="L435">
        <f t="shared" si="43"/>
        <v>0.81649739748635275</v>
      </c>
      <c r="M435">
        <f t="shared" si="44"/>
        <v>7.9795905707196031</v>
      </c>
      <c r="N435">
        <f t="shared" si="45"/>
        <v>6.0261694303861431</v>
      </c>
      <c r="O435">
        <f t="shared" si="46"/>
        <v>32326.06</v>
      </c>
      <c r="P435">
        <f t="shared" si="47"/>
        <v>83.405710517237779</v>
      </c>
      <c r="Q435" s="4" t="str">
        <f t="shared" si="48"/>
        <v>2025-05</v>
      </c>
    </row>
    <row r="436" spans="1:17" x14ac:dyDescent="0.3">
      <c r="A436" t="s">
        <v>444</v>
      </c>
      <c r="B436" s="2">
        <v>45774</v>
      </c>
      <c r="C436" t="s">
        <v>513</v>
      </c>
      <c r="D436" t="s">
        <v>518</v>
      </c>
      <c r="E436">
        <v>3363.8</v>
      </c>
      <c r="F436">
        <v>3237.28</v>
      </c>
      <c r="G436">
        <v>179667</v>
      </c>
      <c r="H436">
        <v>3625</v>
      </c>
      <c r="I436">
        <v>357</v>
      </c>
      <c r="J436">
        <v>14734.04</v>
      </c>
      <c r="K436">
        <f t="shared" si="42"/>
        <v>2.0176214886428782E-2</v>
      </c>
      <c r="L436">
        <f t="shared" si="43"/>
        <v>0.89304275862068971</v>
      </c>
      <c r="M436">
        <f t="shared" si="44"/>
        <v>9.0680112044817935</v>
      </c>
      <c r="N436">
        <f t="shared" si="45"/>
        <v>4.5513641081401675</v>
      </c>
      <c r="O436">
        <f t="shared" si="46"/>
        <v>11496.76</v>
      </c>
      <c r="P436">
        <f t="shared" si="47"/>
        <v>78.028565145744139</v>
      </c>
      <c r="Q436" s="4" t="str">
        <f t="shared" si="48"/>
        <v>2025-04</v>
      </c>
    </row>
    <row r="437" spans="1:17" x14ac:dyDescent="0.3">
      <c r="A437" t="s">
        <v>445</v>
      </c>
      <c r="B437" s="2">
        <v>45653</v>
      </c>
      <c r="C437" t="s">
        <v>514</v>
      </c>
      <c r="D437" t="s">
        <v>515</v>
      </c>
      <c r="E437">
        <v>9096.7800000000007</v>
      </c>
      <c r="F437">
        <v>9226.19</v>
      </c>
      <c r="G437">
        <v>142353</v>
      </c>
      <c r="H437">
        <v>4745</v>
      </c>
      <c r="I437">
        <v>555</v>
      </c>
      <c r="J437">
        <v>24448.77</v>
      </c>
      <c r="K437">
        <f t="shared" si="42"/>
        <v>3.333263085428477E-2</v>
      </c>
      <c r="L437">
        <f t="shared" si="43"/>
        <v>1.9444025289778715</v>
      </c>
      <c r="M437">
        <f t="shared" si="44"/>
        <v>16.623765765765768</v>
      </c>
      <c r="N437">
        <f t="shared" si="45"/>
        <v>2.6499313367706496</v>
      </c>
      <c r="O437">
        <f t="shared" si="46"/>
        <v>15222.58</v>
      </c>
      <c r="P437">
        <f t="shared" si="47"/>
        <v>62.263173157586252</v>
      </c>
      <c r="Q437" s="4" t="str">
        <f t="shared" si="48"/>
        <v>2024-12</v>
      </c>
    </row>
    <row r="438" spans="1:17" x14ac:dyDescent="0.3">
      <c r="A438" t="s">
        <v>446</v>
      </c>
      <c r="B438" s="2">
        <v>45811</v>
      </c>
      <c r="C438" t="s">
        <v>512</v>
      </c>
      <c r="D438" t="s">
        <v>516</v>
      </c>
      <c r="E438">
        <v>5376.15</v>
      </c>
      <c r="F438">
        <v>5615.11</v>
      </c>
      <c r="G438">
        <v>161295</v>
      </c>
      <c r="H438">
        <v>7131</v>
      </c>
      <c r="I438">
        <v>124</v>
      </c>
      <c r="J438">
        <v>2778.03</v>
      </c>
      <c r="K438">
        <f t="shared" si="42"/>
        <v>4.4210917883381384E-2</v>
      </c>
      <c r="L438">
        <f t="shared" si="43"/>
        <v>0.78742252138549984</v>
      </c>
      <c r="M438">
        <f t="shared" si="44"/>
        <v>45.283145161290321</v>
      </c>
      <c r="N438">
        <f t="shared" si="45"/>
        <v>0.49474186614331694</v>
      </c>
      <c r="O438">
        <f t="shared" si="46"/>
        <v>-2837.0799999999995</v>
      </c>
      <c r="P438">
        <f t="shared" si="47"/>
        <v>-102.12560699488485</v>
      </c>
      <c r="Q438" s="4" t="str">
        <f t="shared" si="48"/>
        <v>2025-06</v>
      </c>
    </row>
    <row r="439" spans="1:17" x14ac:dyDescent="0.3">
      <c r="A439" t="s">
        <v>447</v>
      </c>
      <c r="B439" s="2">
        <v>45803</v>
      </c>
      <c r="C439" t="s">
        <v>510</v>
      </c>
      <c r="D439" t="s">
        <v>517</v>
      </c>
      <c r="E439">
        <v>9263.7199999999993</v>
      </c>
      <c r="F439">
        <v>8932.7999999999993</v>
      </c>
      <c r="G439">
        <v>72755</v>
      </c>
      <c r="H439">
        <v>2170</v>
      </c>
      <c r="I439">
        <v>58</v>
      </c>
      <c r="J439">
        <v>2582.1</v>
      </c>
      <c r="K439">
        <f t="shared" si="42"/>
        <v>2.9826128788399422E-2</v>
      </c>
      <c r="L439">
        <f t="shared" si="43"/>
        <v>4.1164976958525346</v>
      </c>
      <c r="M439">
        <f t="shared" si="44"/>
        <v>154.01379310344825</v>
      </c>
      <c r="N439">
        <f t="shared" si="45"/>
        <v>0.28905830198817839</v>
      </c>
      <c r="O439">
        <f t="shared" si="46"/>
        <v>-6350.6999999999989</v>
      </c>
      <c r="P439">
        <f t="shared" si="47"/>
        <v>-245.95097014058322</v>
      </c>
      <c r="Q439" s="4" t="str">
        <f t="shared" si="48"/>
        <v>2025-05</v>
      </c>
    </row>
    <row r="440" spans="1:17" x14ac:dyDescent="0.3">
      <c r="A440" t="s">
        <v>448</v>
      </c>
      <c r="B440" s="2">
        <v>45765</v>
      </c>
      <c r="C440" t="s">
        <v>513</v>
      </c>
      <c r="D440" t="s">
        <v>518</v>
      </c>
      <c r="E440">
        <v>6166.23</v>
      </c>
      <c r="F440">
        <v>6123.52</v>
      </c>
      <c r="G440">
        <v>136413</v>
      </c>
      <c r="H440">
        <v>3434</v>
      </c>
      <c r="I440">
        <v>635</v>
      </c>
      <c r="J440">
        <v>22727.97</v>
      </c>
      <c r="K440">
        <f t="shared" si="42"/>
        <v>2.5173553840176523E-2</v>
      </c>
      <c r="L440">
        <f t="shared" si="43"/>
        <v>1.783203261502621</v>
      </c>
      <c r="M440">
        <f t="shared" si="44"/>
        <v>9.6433385826771669</v>
      </c>
      <c r="N440">
        <f t="shared" si="45"/>
        <v>3.7115858199205687</v>
      </c>
      <c r="O440">
        <f t="shared" si="46"/>
        <v>16604.45</v>
      </c>
      <c r="P440">
        <f t="shared" si="47"/>
        <v>73.057338600851722</v>
      </c>
      <c r="Q440" s="4" t="str">
        <f t="shared" si="48"/>
        <v>2025-04</v>
      </c>
    </row>
    <row r="441" spans="1:17" x14ac:dyDescent="0.3">
      <c r="A441" t="s">
        <v>449</v>
      </c>
      <c r="B441" s="2">
        <v>45707</v>
      </c>
      <c r="C441" t="s">
        <v>514</v>
      </c>
      <c r="D441" t="s">
        <v>517</v>
      </c>
      <c r="E441">
        <v>8121.13</v>
      </c>
      <c r="F441">
        <v>6695.78</v>
      </c>
      <c r="G441">
        <v>190122</v>
      </c>
      <c r="H441">
        <v>2084</v>
      </c>
      <c r="I441">
        <v>362</v>
      </c>
      <c r="J441">
        <v>7895.42</v>
      </c>
      <c r="K441">
        <f t="shared" si="42"/>
        <v>1.0961382691114126E-2</v>
      </c>
      <c r="L441">
        <f t="shared" si="43"/>
        <v>3.2129462571976966</v>
      </c>
      <c r="M441">
        <f t="shared" si="44"/>
        <v>18.496629834254144</v>
      </c>
      <c r="N441">
        <f t="shared" si="45"/>
        <v>1.1791635925911546</v>
      </c>
      <c r="O441">
        <f t="shared" si="46"/>
        <v>1199.6400000000003</v>
      </c>
      <c r="P441">
        <f t="shared" si="47"/>
        <v>15.194125201699215</v>
      </c>
      <c r="Q441" s="4" t="str">
        <f t="shared" si="48"/>
        <v>2025-02</v>
      </c>
    </row>
    <row r="442" spans="1:17" x14ac:dyDescent="0.3">
      <c r="A442" t="s">
        <v>450</v>
      </c>
      <c r="B442" s="2">
        <v>45667</v>
      </c>
      <c r="C442" t="s">
        <v>513</v>
      </c>
      <c r="D442" t="s">
        <v>515</v>
      </c>
      <c r="E442">
        <v>4729.72</v>
      </c>
      <c r="F442">
        <v>4010.16</v>
      </c>
      <c r="G442">
        <v>84930</v>
      </c>
      <c r="H442">
        <v>1915</v>
      </c>
      <c r="I442">
        <v>303</v>
      </c>
      <c r="J442">
        <v>13984.51</v>
      </c>
      <c r="K442">
        <f t="shared" si="42"/>
        <v>2.2547980689979985E-2</v>
      </c>
      <c r="L442">
        <f t="shared" si="43"/>
        <v>2.0940783289817233</v>
      </c>
      <c r="M442">
        <f t="shared" si="44"/>
        <v>13.234851485148514</v>
      </c>
      <c r="N442">
        <f t="shared" si="45"/>
        <v>3.487269834620065</v>
      </c>
      <c r="O442">
        <f t="shared" si="46"/>
        <v>9974.35</v>
      </c>
      <c r="P442">
        <f t="shared" si="47"/>
        <v>71.324272355627755</v>
      </c>
      <c r="Q442" s="4" t="str">
        <f t="shared" si="48"/>
        <v>2025-01</v>
      </c>
    </row>
    <row r="443" spans="1:17" x14ac:dyDescent="0.3">
      <c r="A443" t="s">
        <v>451</v>
      </c>
      <c r="B443" s="2">
        <v>45671</v>
      </c>
      <c r="C443" t="s">
        <v>510</v>
      </c>
      <c r="D443" t="s">
        <v>515</v>
      </c>
      <c r="E443">
        <v>4534.5</v>
      </c>
      <c r="F443">
        <v>4955.12</v>
      </c>
      <c r="G443">
        <v>120822</v>
      </c>
      <c r="H443">
        <v>1992</v>
      </c>
      <c r="I443">
        <v>277</v>
      </c>
      <c r="J443">
        <v>8339.6</v>
      </c>
      <c r="K443">
        <f t="shared" si="42"/>
        <v>1.6487063614242438E-2</v>
      </c>
      <c r="L443">
        <f t="shared" si="43"/>
        <v>2.4875100401606427</v>
      </c>
      <c r="M443">
        <f t="shared" si="44"/>
        <v>17.888519855595668</v>
      </c>
      <c r="N443">
        <f t="shared" si="45"/>
        <v>1.6830268489965936</v>
      </c>
      <c r="O443">
        <f t="shared" si="46"/>
        <v>3384.4800000000005</v>
      </c>
      <c r="P443">
        <f t="shared" si="47"/>
        <v>40.583241402465347</v>
      </c>
      <c r="Q443" s="4" t="str">
        <f t="shared" si="48"/>
        <v>2025-01</v>
      </c>
    </row>
    <row r="444" spans="1:17" x14ac:dyDescent="0.3">
      <c r="A444" t="s">
        <v>452</v>
      </c>
      <c r="B444" s="2">
        <v>45724</v>
      </c>
      <c r="C444" t="s">
        <v>512</v>
      </c>
      <c r="D444" t="s">
        <v>515</v>
      </c>
      <c r="E444">
        <v>4274.83</v>
      </c>
      <c r="F444">
        <v>4432.6099999999997</v>
      </c>
      <c r="G444">
        <v>108943</v>
      </c>
      <c r="H444">
        <v>3924</v>
      </c>
      <c r="I444">
        <v>687</v>
      </c>
      <c r="J444">
        <v>27315.97</v>
      </c>
      <c r="K444">
        <f t="shared" si="42"/>
        <v>3.6018835537850069E-2</v>
      </c>
      <c r="L444">
        <f t="shared" si="43"/>
        <v>1.1296151885830783</v>
      </c>
      <c r="M444">
        <f t="shared" si="44"/>
        <v>6.4521251819505085</v>
      </c>
      <c r="N444">
        <f t="shared" si="45"/>
        <v>6.1625024534078126</v>
      </c>
      <c r="O444">
        <f t="shared" si="46"/>
        <v>22883.360000000001</v>
      </c>
      <c r="P444">
        <f t="shared" si="47"/>
        <v>83.772825932961553</v>
      </c>
      <c r="Q444" s="4" t="str">
        <f t="shared" si="48"/>
        <v>2025-03</v>
      </c>
    </row>
    <row r="445" spans="1:17" x14ac:dyDescent="0.3">
      <c r="A445" t="s">
        <v>453</v>
      </c>
      <c r="B445" s="2">
        <v>45735</v>
      </c>
      <c r="C445" t="s">
        <v>514</v>
      </c>
      <c r="D445" t="s">
        <v>516</v>
      </c>
      <c r="E445">
        <v>6487.37</v>
      </c>
      <c r="F445">
        <v>6270.75</v>
      </c>
      <c r="G445">
        <v>145244</v>
      </c>
      <c r="H445">
        <v>7015</v>
      </c>
      <c r="I445">
        <v>623</v>
      </c>
      <c r="J445">
        <v>25901.88</v>
      </c>
      <c r="K445">
        <f t="shared" si="42"/>
        <v>4.8298036407700147E-2</v>
      </c>
      <c r="L445">
        <f t="shared" si="43"/>
        <v>0.89390591589451174</v>
      </c>
      <c r="M445">
        <f t="shared" si="44"/>
        <v>10.065409309791333</v>
      </c>
      <c r="N445">
        <f t="shared" si="45"/>
        <v>4.1305872503289081</v>
      </c>
      <c r="O445">
        <f t="shared" si="46"/>
        <v>19631.13</v>
      </c>
      <c r="P445">
        <f t="shared" si="47"/>
        <v>75.790367340131297</v>
      </c>
      <c r="Q445" s="4" t="str">
        <f t="shared" si="48"/>
        <v>2025-03</v>
      </c>
    </row>
    <row r="446" spans="1:17" x14ac:dyDescent="0.3">
      <c r="A446" t="s">
        <v>454</v>
      </c>
      <c r="B446" s="2">
        <v>45679</v>
      </c>
      <c r="C446" t="s">
        <v>513</v>
      </c>
      <c r="D446" t="s">
        <v>515</v>
      </c>
      <c r="E446">
        <v>4599.18</v>
      </c>
      <c r="F446">
        <v>5054.04</v>
      </c>
      <c r="G446">
        <v>174584</v>
      </c>
      <c r="H446">
        <v>5659</v>
      </c>
      <c r="I446">
        <v>91</v>
      </c>
      <c r="J446">
        <v>4481.1899999999996</v>
      </c>
      <c r="K446">
        <f t="shared" si="42"/>
        <v>3.2414196031709662E-2</v>
      </c>
      <c r="L446">
        <f t="shared" si="43"/>
        <v>0.89309772044530833</v>
      </c>
      <c r="M446">
        <f t="shared" si="44"/>
        <v>55.5389010989011</v>
      </c>
      <c r="N446">
        <f t="shared" si="45"/>
        <v>0.88665503240971577</v>
      </c>
      <c r="O446">
        <f t="shared" si="46"/>
        <v>-572.85000000000036</v>
      </c>
      <c r="P446">
        <f t="shared" si="47"/>
        <v>-12.783434757285461</v>
      </c>
      <c r="Q446" s="4" t="str">
        <f t="shared" si="48"/>
        <v>2025-01</v>
      </c>
    </row>
    <row r="447" spans="1:17" x14ac:dyDescent="0.3">
      <c r="A447" t="s">
        <v>455</v>
      </c>
      <c r="B447" s="2">
        <v>45742</v>
      </c>
      <c r="C447" t="s">
        <v>513</v>
      </c>
      <c r="D447" t="s">
        <v>517</v>
      </c>
      <c r="E447">
        <v>7552.28</v>
      </c>
      <c r="F447">
        <v>6493.92</v>
      </c>
      <c r="G447">
        <v>187179</v>
      </c>
      <c r="H447">
        <v>9269</v>
      </c>
      <c r="I447">
        <v>1087</v>
      </c>
      <c r="J447">
        <v>43922.239999999998</v>
      </c>
      <c r="K447">
        <f t="shared" si="42"/>
        <v>4.9519443954717142E-2</v>
      </c>
      <c r="L447">
        <f t="shared" si="43"/>
        <v>0.70060632214909913</v>
      </c>
      <c r="M447">
        <f t="shared" si="44"/>
        <v>5.974167433302668</v>
      </c>
      <c r="N447">
        <f t="shared" si="45"/>
        <v>6.7635942543178844</v>
      </c>
      <c r="O447">
        <f t="shared" si="46"/>
        <v>37428.32</v>
      </c>
      <c r="P447">
        <f t="shared" si="47"/>
        <v>85.214961714156658</v>
      </c>
      <c r="Q447" s="4" t="str">
        <f t="shared" si="48"/>
        <v>2025-03</v>
      </c>
    </row>
    <row r="448" spans="1:17" x14ac:dyDescent="0.3">
      <c r="A448" t="s">
        <v>456</v>
      </c>
      <c r="B448" s="2">
        <v>45710</v>
      </c>
      <c r="C448" t="s">
        <v>514</v>
      </c>
      <c r="D448" t="s">
        <v>518</v>
      </c>
      <c r="E448">
        <v>3505.39</v>
      </c>
      <c r="F448">
        <v>2836.55</v>
      </c>
      <c r="G448">
        <v>113319</v>
      </c>
      <c r="H448">
        <v>2346</v>
      </c>
      <c r="I448">
        <v>225</v>
      </c>
      <c r="J448">
        <v>6239.36</v>
      </c>
      <c r="K448">
        <f t="shared" si="42"/>
        <v>2.0702618272310909E-2</v>
      </c>
      <c r="L448">
        <f t="shared" si="43"/>
        <v>1.2091005967604433</v>
      </c>
      <c r="M448">
        <f t="shared" si="44"/>
        <v>12.606888888888889</v>
      </c>
      <c r="N448">
        <f t="shared" si="45"/>
        <v>2.1996298320142422</v>
      </c>
      <c r="O448">
        <f t="shared" si="46"/>
        <v>3402.8099999999995</v>
      </c>
      <c r="P448">
        <f t="shared" si="47"/>
        <v>54.537805159503542</v>
      </c>
      <c r="Q448" s="4" t="str">
        <f t="shared" si="48"/>
        <v>2025-02</v>
      </c>
    </row>
    <row r="449" spans="1:17" x14ac:dyDescent="0.3">
      <c r="A449" t="s">
        <v>457</v>
      </c>
      <c r="B449" s="2">
        <v>45719</v>
      </c>
      <c r="C449" t="s">
        <v>510</v>
      </c>
      <c r="D449" t="s">
        <v>517</v>
      </c>
      <c r="E449">
        <v>6238.36</v>
      </c>
      <c r="F449">
        <v>6615.67</v>
      </c>
      <c r="G449">
        <v>97411</v>
      </c>
      <c r="H449">
        <v>2282</v>
      </c>
      <c r="I449">
        <v>391</v>
      </c>
      <c r="J449">
        <v>16349.69</v>
      </c>
      <c r="K449">
        <f t="shared" si="42"/>
        <v>2.3426512406196424E-2</v>
      </c>
      <c r="L449">
        <f t="shared" si="43"/>
        <v>2.8990666082383876</v>
      </c>
      <c r="M449">
        <f t="shared" si="44"/>
        <v>16.919872122762147</v>
      </c>
      <c r="N449">
        <f t="shared" si="45"/>
        <v>2.4713581542005572</v>
      </c>
      <c r="O449">
        <f t="shared" si="46"/>
        <v>9734.02</v>
      </c>
      <c r="P449">
        <f t="shared" si="47"/>
        <v>59.536419344953941</v>
      </c>
      <c r="Q449" s="4" t="str">
        <f t="shared" si="48"/>
        <v>2025-03</v>
      </c>
    </row>
    <row r="450" spans="1:17" x14ac:dyDescent="0.3">
      <c r="A450" t="s">
        <v>458</v>
      </c>
      <c r="B450" s="2">
        <v>45798</v>
      </c>
      <c r="C450" t="s">
        <v>511</v>
      </c>
      <c r="D450" t="s">
        <v>517</v>
      </c>
      <c r="E450">
        <v>8198.9500000000007</v>
      </c>
      <c r="F450">
        <v>7605.74</v>
      </c>
      <c r="G450">
        <v>172776</v>
      </c>
      <c r="H450">
        <v>7965</v>
      </c>
      <c r="I450">
        <v>101</v>
      </c>
      <c r="J450">
        <v>3068.18</v>
      </c>
      <c r="K450">
        <f t="shared" si="42"/>
        <v>4.6100152798999858E-2</v>
      </c>
      <c r="L450">
        <f t="shared" si="43"/>
        <v>0.95489516635279348</v>
      </c>
      <c r="M450">
        <f t="shared" si="44"/>
        <v>75.304356435643555</v>
      </c>
      <c r="N450">
        <f t="shared" si="45"/>
        <v>0.40340321914764377</v>
      </c>
      <c r="O450">
        <f t="shared" si="46"/>
        <v>-4537.5599999999995</v>
      </c>
      <c r="P450">
        <f t="shared" si="47"/>
        <v>-147.89093208351528</v>
      </c>
      <c r="Q450" s="4" t="str">
        <f t="shared" si="48"/>
        <v>2025-05</v>
      </c>
    </row>
    <row r="451" spans="1:17" x14ac:dyDescent="0.3">
      <c r="A451" t="s">
        <v>459</v>
      </c>
      <c r="B451" s="2">
        <v>45758</v>
      </c>
      <c r="C451" t="s">
        <v>510</v>
      </c>
      <c r="D451" t="s">
        <v>516</v>
      </c>
      <c r="E451">
        <v>5597.27</v>
      </c>
      <c r="F451">
        <v>6136.26</v>
      </c>
      <c r="G451">
        <v>117252</v>
      </c>
      <c r="H451">
        <v>4476</v>
      </c>
      <c r="I451">
        <v>461</v>
      </c>
      <c r="J451">
        <v>9774.7099999999991</v>
      </c>
      <c r="K451">
        <f t="shared" ref="K451:K501" si="49">H451/G451</f>
        <v>3.8174188926414901E-2</v>
      </c>
      <c r="L451">
        <f t="shared" ref="L451:L501" si="50">F451/H451</f>
        <v>1.3709249329758713</v>
      </c>
      <c r="M451">
        <f t="shared" ref="M451:M501" si="51">F451/I451</f>
        <v>13.310759219088938</v>
      </c>
      <c r="N451">
        <f t="shared" ref="N451:N501" si="52">J451/F451</f>
        <v>1.592942606734395</v>
      </c>
      <c r="O451">
        <f t="shared" ref="O451:O501" si="53">J451-F451</f>
        <v>3638.4499999999989</v>
      </c>
      <c r="P451">
        <f t="shared" ref="P451:P501" si="54">(O451/J451)*100</f>
        <v>37.22309920192005</v>
      </c>
      <c r="Q451" s="4" t="str">
        <f t="shared" ref="Q451:Q501" si="55">TEXT(B451,"yyyy-mm")</f>
        <v>2025-04</v>
      </c>
    </row>
    <row r="452" spans="1:17" x14ac:dyDescent="0.3">
      <c r="A452" t="s">
        <v>460</v>
      </c>
      <c r="B452" s="2">
        <v>45687</v>
      </c>
      <c r="C452" t="s">
        <v>512</v>
      </c>
      <c r="D452" t="s">
        <v>516</v>
      </c>
      <c r="E452">
        <v>9069.2199999999993</v>
      </c>
      <c r="F452">
        <v>8829.82</v>
      </c>
      <c r="G452">
        <v>149827</v>
      </c>
      <c r="H452">
        <v>5041</v>
      </c>
      <c r="I452">
        <v>104</v>
      </c>
      <c r="J452">
        <v>3448.48</v>
      </c>
      <c r="K452">
        <f t="shared" si="49"/>
        <v>3.364547111001355E-2</v>
      </c>
      <c r="L452">
        <f t="shared" si="50"/>
        <v>1.7516008728426899</v>
      </c>
      <c r="M452">
        <f t="shared" si="51"/>
        <v>84.902115384615385</v>
      </c>
      <c r="N452">
        <f t="shared" si="52"/>
        <v>0.39054929772067837</v>
      </c>
      <c r="O452">
        <f t="shared" si="53"/>
        <v>-5381.34</v>
      </c>
      <c r="P452">
        <f t="shared" si="54"/>
        <v>-156.04962186238575</v>
      </c>
      <c r="Q452" s="4" t="str">
        <f t="shared" si="55"/>
        <v>2025-01</v>
      </c>
    </row>
    <row r="453" spans="1:17" x14ac:dyDescent="0.3">
      <c r="A453" t="s">
        <v>461</v>
      </c>
      <c r="B453" s="2">
        <v>45659</v>
      </c>
      <c r="C453" t="s">
        <v>514</v>
      </c>
      <c r="D453" t="s">
        <v>517</v>
      </c>
      <c r="E453">
        <v>8076.8</v>
      </c>
      <c r="F453">
        <v>7640.66</v>
      </c>
      <c r="G453">
        <v>148415</v>
      </c>
      <c r="H453">
        <v>5679</v>
      </c>
      <c r="I453">
        <v>1058</v>
      </c>
      <c r="J453">
        <v>48882.45</v>
      </c>
      <c r="K453">
        <f t="shared" si="49"/>
        <v>3.8264326382104231E-2</v>
      </c>
      <c r="L453">
        <f t="shared" si="50"/>
        <v>1.3454234900510653</v>
      </c>
      <c r="M453">
        <f t="shared" si="51"/>
        <v>7.22179584120983</v>
      </c>
      <c r="N453">
        <f t="shared" si="52"/>
        <v>6.397673761167229</v>
      </c>
      <c r="O453">
        <f t="shared" si="53"/>
        <v>41241.789999999994</v>
      </c>
      <c r="P453">
        <f t="shared" si="54"/>
        <v>84.369318640943732</v>
      </c>
      <c r="Q453" s="4" t="str">
        <f t="shared" si="55"/>
        <v>2025-01</v>
      </c>
    </row>
    <row r="454" spans="1:17" x14ac:dyDescent="0.3">
      <c r="A454" t="s">
        <v>462</v>
      </c>
      <c r="B454" s="2">
        <v>45681</v>
      </c>
      <c r="C454" t="s">
        <v>512</v>
      </c>
      <c r="D454" t="s">
        <v>517</v>
      </c>
      <c r="E454">
        <v>9304.91</v>
      </c>
      <c r="F454">
        <v>8621.15</v>
      </c>
      <c r="G454">
        <v>96330</v>
      </c>
      <c r="H454">
        <v>1282</v>
      </c>
      <c r="I454">
        <v>150</v>
      </c>
      <c r="J454">
        <v>4245.7299999999996</v>
      </c>
      <c r="K454">
        <f t="shared" si="49"/>
        <v>1.3308418976435171E-2</v>
      </c>
      <c r="L454">
        <f t="shared" si="50"/>
        <v>6.7247659906396251</v>
      </c>
      <c r="M454">
        <f t="shared" si="51"/>
        <v>57.474333333333334</v>
      </c>
      <c r="N454">
        <f t="shared" si="52"/>
        <v>0.49247838165441965</v>
      </c>
      <c r="O454">
        <f t="shared" si="53"/>
        <v>-4375.42</v>
      </c>
      <c r="P454">
        <f t="shared" si="54"/>
        <v>-103.05459838473008</v>
      </c>
      <c r="Q454" s="4" t="str">
        <f t="shared" si="55"/>
        <v>2025-01</v>
      </c>
    </row>
    <row r="455" spans="1:17" x14ac:dyDescent="0.3">
      <c r="A455" t="s">
        <v>463</v>
      </c>
      <c r="B455" s="2">
        <v>45750</v>
      </c>
      <c r="C455" t="s">
        <v>510</v>
      </c>
      <c r="D455" t="s">
        <v>516</v>
      </c>
      <c r="E455">
        <v>7146.45</v>
      </c>
      <c r="F455">
        <v>7673.21</v>
      </c>
      <c r="G455">
        <v>96745</v>
      </c>
      <c r="H455">
        <v>2886</v>
      </c>
      <c r="I455">
        <v>402</v>
      </c>
      <c r="J455">
        <v>10580.59</v>
      </c>
      <c r="K455">
        <f t="shared" si="49"/>
        <v>2.9830999018037107E-2</v>
      </c>
      <c r="L455">
        <f t="shared" si="50"/>
        <v>2.6587699237699236</v>
      </c>
      <c r="M455">
        <f t="shared" si="51"/>
        <v>19.087587064676615</v>
      </c>
      <c r="N455">
        <f t="shared" si="52"/>
        <v>1.3789000952665182</v>
      </c>
      <c r="O455">
        <f t="shared" si="53"/>
        <v>2907.38</v>
      </c>
      <c r="P455">
        <f t="shared" si="54"/>
        <v>27.478429841814116</v>
      </c>
      <c r="Q455" s="4" t="str">
        <f t="shared" si="55"/>
        <v>2025-04</v>
      </c>
    </row>
    <row r="456" spans="1:17" x14ac:dyDescent="0.3">
      <c r="A456" t="s">
        <v>464</v>
      </c>
      <c r="B456" s="2">
        <v>45682</v>
      </c>
      <c r="C456" t="s">
        <v>514</v>
      </c>
      <c r="D456" t="s">
        <v>518</v>
      </c>
      <c r="E456">
        <v>7360.77</v>
      </c>
      <c r="F456">
        <v>7283.25</v>
      </c>
      <c r="G456">
        <v>66585</v>
      </c>
      <c r="H456">
        <v>3235</v>
      </c>
      <c r="I456">
        <v>641</v>
      </c>
      <c r="J456">
        <v>26917.759999999998</v>
      </c>
      <c r="K456">
        <f t="shared" si="49"/>
        <v>4.8584516032139369E-2</v>
      </c>
      <c r="L456">
        <f t="shared" si="50"/>
        <v>2.2513910355486861</v>
      </c>
      <c r="M456">
        <f t="shared" si="51"/>
        <v>11.362324492979718</v>
      </c>
      <c r="N456">
        <f t="shared" si="52"/>
        <v>3.6958445748807192</v>
      </c>
      <c r="O456">
        <f t="shared" si="53"/>
        <v>19634.509999999998</v>
      </c>
      <c r="P456">
        <f t="shared" si="54"/>
        <v>72.942585118523979</v>
      </c>
      <c r="Q456" s="4" t="str">
        <f t="shared" si="55"/>
        <v>2025-01</v>
      </c>
    </row>
    <row r="457" spans="1:17" x14ac:dyDescent="0.3">
      <c r="A457" t="s">
        <v>465</v>
      </c>
      <c r="B457" s="2">
        <v>45786</v>
      </c>
      <c r="C457" t="s">
        <v>510</v>
      </c>
      <c r="D457" t="s">
        <v>517</v>
      </c>
      <c r="E457">
        <v>3920.97</v>
      </c>
      <c r="F457">
        <v>3978.79</v>
      </c>
      <c r="G457">
        <v>192117</v>
      </c>
      <c r="H457">
        <v>4361</v>
      </c>
      <c r="I457">
        <v>98</v>
      </c>
      <c r="J457">
        <v>4632.5600000000004</v>
      </c>
      <c r="K457">
        <f t="shared" si="49"/>
        <v>2.2699709031475612E-2</v>
      </c>
      <c r="L457">
        <f t="shared" si="50"/>
        <v>0.9123572575097455</v>
      </c>
      <c r="M457">
        <f t="shared" si="51"/>
        <v>40.599897959183672</v>
      </c>
      <c r="N457">
        <f t="shared" si="52"/>
        <v>1.1643137737854976</v>
      </c>
      <c r="O457">
        <f t="shared" si="53"/>
        <v>653.77000000000044</v>
      </c>
      <c r="P457">
        <f t="shared" si="54"/>
        <v>14.112499352409907</v>
      </c>
      <c r="Q457" s="4" t="str">
        <f t="shared" si="55"/>
        <v>2025-05</v>
      </c>
    </row>
    <row r="458" spans="1:17" x14ac:dyDescent="0.3">
      <c r="A458" t="s">
        <v>466</v>
      </c>
      <c r="B458" s="2">
        <v>45686</v>
      </c>
      <c r="C458" t="s">
        <v>513</v>
      </c>
      <c r="D458" t="s">
        <v>518</v>
      </c>
      <c r="E458">
        <v>4257.78</v>
      </c>
      <c r="F458">
        <v>3709.65</v>
      </c>
      <c r="G458">
        <v>194804</v>
      </c>
      <c r="H458">
        <v>8803</v>
      </c>
      <c r="I458">
        <v>1231</v>
      </c>
      <c r="J458">
        <v>60493.62</v>
      </c>
      <c r="K458">
        <f t="shared" si="49"/>
        <v>4.5189010492597687E-2</v>
      </c>
      <c r="L458">
        <f t="shared" si="50"/>
        <v>0.42140747472452572</v>
      </c>
      <c r="M458">
        <f t="shared" si="51"/>
        <v>3.0135255889520716</v>
      </c>
      <c r="N458">
        <f t="shared" si="52"/>
        <v>16.30709635679916</v>
      </c>
      <c r="O458">
        <f t="shared" si="53"/>
        <v>56783.97</v>
      </c>
      <c r="P458">
        <f t="shared" si="54"/>
        <v>93.867700428574125</v>
      </c>
      <c r="Q458" s="4" t="str">
        <f t="shared" si="55"/>
        <v>2025-01</v>
      </c>
    </row>
    <row r="459" spans="1:17" x14ac:dyDescent="0.3">
      <c r="A459" t="s">
        <v>467</v>
      </c>
      <c r="B459" s="2">
        <v>45670</v>
      </c>
      <c r="C459" t="s">
        <v>514</v>
      </c>
      <c r="D459" t="s">
        <v>516</v>
      </c>
      <c r="E459">
        <v>4266.84</v>
      </c>
      <c r="F459">
        <v>4507.13</v>
      </c>
      <c r="G459">
        <v>91032</v>
      </c>
      <c r="H459">
        <v>3308</v>
      </c>
      <c r="I459">
        <v>330</v>
      </c>
      <c r="J459">
        <v>11473.55</v>
      </c>
      <c r="K459">
        <f t="shared" si="49"/>
        <v>3.6338869847965548E-2</v>
      </c>
      <c r="L459">
        <f t="shared" si="50"/>
        <v>1.3624939540507861</v>
      </c>
      <c r="M459">
        <f t="shared" si="51"/>
        <v>13.657969696969698</v>
      </c>
      <c r="N459">
        <f t="shared" si="52"/>
        <v>2.5456443457366436</v>
      </c>
      <c r="O459">
        <f t="shared" si="53"/>
        <v>6966.4199999999992</v>
      </c>
      <c r="P459">
        <f t="shared" si="54"/>
        <v>60.717214811457652</v>
      </c>
      <c r="Q459" s="4" t="str">
        <f t="shared" si="55"/>
        <v>2025-01</v>
      </c>
    </row>
    <row r="460" spans="1:17" x14ac:dyDescent="0.3">
      <c r="A460" t="s">
        <v>468</v>
      </c>
      <c r="B460" s="2">
        <v>45739</v>
      </c>
      <c r="C460" t="s">
        <v>510</v>
      </c>
      <c r="D460" t="s">
        <v>518</v>
      </c>
      <c r="E460">
        <v>4730.62</v>
      </c>
      <c r="F460">
        <v>5020.25</v>
      </c>
      <c r="G460">
        <v>116506</v>
      </c>
      <c r="H460">
        <v>4331</v>
      </c>
      <c r="I460">
        <v>122</v>
      </c>
      <c r="J460">
        <v>4069.82</v>
      </c>
      <c r="K460">
        <f t="shared" si="49"/>
        <v>3.7174051121830635E-2</v>
      </c>
      <c r="L460">
        <f t="shared" si="50"/>
        <v>1.1591433848995614</v>
      </c>
      <c r="M460">
        <f t="shared" si="51"/>
        <v>41.149590163934427</v>
      </c>
      <c r="N460">
        <f t="shared" si="52"/>
        <v>0.81068074299088699</v>
      </c>
      <c r="O460">
        <f t="shared" si="53"/>
        <v>-950.42999999999984</v>
      </c>
      <c r="P460">
        <f t="shared" si="54"/>
        <v>-23.353121268262473</v>
      </c>
      <c r="Q460" s="4" t="str">
        <f t="shared" si="55"/>
        <v>2025-03</v>
      </c>
    </row>
    <row r="461" spans="1:17" x14ac:dyDescent="0.3">
      <c r="A461" t="s">
        <v>469</v>
      </c>
      <c r="B461" s="2">
        <v>45639</v>
      </c>
      <c r="C461" t="s">
        <v>514</v>
      </c>
      <c r="D461" t="s">
        <v>516</v>
      </c>
      <c r="E461">
        <v>6603.72</v>
      </c>
      <c r="F461">
        <v>5994.66</v>
      </c>
      <c r="G461">
        <v>55887</v>
      </c>
      <c r="H461">
        <v>1060</v>
      </c>
      <c r="I461">
        <v>202</v>
      </c>
      <c r="J461">
        <v>7633.28</v>
      </c>
      <c r="K461">
        <f t="shared" si="49"/>
        <v>1.896684380983055E-2</v>
      </c>
      <c r="L461">
        <f t="shared" si="50"/>
        <v>5.6553396226415096</v>
      </c>
      <c r="M461">
        <f t="shared" si="51"/>
        <v>29.676534653465346</v>
      </c>
      <c r="N461">
        <f t="shared" si="52"/>
        <v>1.2733466118178511</v>
      </c>
      <c r="O461">
        <f t="shared" si="53"/>
        <v>1638.62</v>
      </c>
      <c r="P461">
        <f t="shared" si="54"/>
        <v>21.466787540873646</v>
      </c>
      <c r="Q461" s="4" t="str">
        <f t="shared" si="55"/>
        <v>2024-12</v>
      </c>
    </row>
    <row r="462" spans="1:17" x14ac:dyDescent="0.3">
      <c r="A462" t="s">
        <v>470</v>
      </c>
      <c r="B462" s="2">
        <v>45655</v>
      </c>
      <c r="C462" t="s">
        <v>510</v>
      </c>
      <c r="D462" t="s">
        <v>516</v>
      </c>
      <c r="E462">
        <v>4144.67</v>
      </c>
      <c r="F462">
        <v>3802.01</v>
      </c>
      <c r="G462">
        <v>111392</v>
      </c>
      <c r="H462">
        <v>4309</v>
      </c>
      <c r="I462">
        <v>82</v>
      </c>
      <c r="J462">
        <v>4024.75</v>
      </c>
      <c r="K462">
        <f t="shared" si="49"/>
        <v>3.8683208848032176E-2</v>
      </c>
      <c r="L462">
        <f t="shared" si="50"/>
        <v>0.88234161058250182</v>
      </c>
      <c r="M462">
        <f t="shared" si="51"/>
        <v>46.365975609756099</v>
      </c>
      <c r="N462">
        <f t="shared" si="52"/>
        <v>1.0585848011972614</v>
      </c>
      <c r="O462">
        <f t="shared" si="53"/>
        <v>222.73999999999978</v>
      </c>
      <c r="P462">
        <f t="shared" si="54"/>
        <v>5.5342567861357796</v>
      </c>
      <c r="Q462" s="4" t="str">
        <f t="shared" si="55"/>
        <v>2024-12</v>
      </c>
    </row>
    <row r="463" spans="1:17" x14ac:dyDescent="0.3">
      <c r="A463" t="s">
        <v>471</v>
      </c>
      <c r="B463" s="2">
        <v>45776</v>
      </c>
      <c r="C463" t="s">
        <v>514</v>
      </c>
      <c r="D463" t="s">
        <v>516</v>
      </c>
      <c r="E463">
        <v>4806.93</v>
      </c>
      <c r="F463">
        <v>4792.6099999999997</v>
      </c>
      <c r="G463">
        <v>127536</v>
      </c>
      <c r="H463">
        <v>1590</v>
      </c>
      <c r="I463">
        <v>273</v>
      </c>
      <c r="J463">
        <v>8123.31</v>
      </c>
      <c r="K463">
        <f t="shared" si="49"/>
        <v>1.2467068121942039E-2</v>
      </c>
      <c r="L463">
        <f t="shared" si="50"/>
        <v>3.0142201257861632</v>
      </c>
      <c r="M463">
        <f t="shared" si="51"/>
        <v>17.555347985347986</v>
      </c>
      <c r="N463">
        <f t="shared" si="52"/>
        <v>1.6949657910825211</v>
      </c>
      <c r="O463">
        <f t="shared" si="53"/>
        <v>3330.7000000000007</v>
      </c>
      <c r="P463">
        <f t="shared" si="54"/>
        <v>41.001759135130882</v>
      </c>
      <c r="Q463" s="4" t="str">
        <f t="shared" si="55"/>
        <v>2025-04</v>
      </c>
    </row>
    <row r="464" spans="1:17" x14ac:dyDescent="0.3">
      <c r="A464" t="s">
        <v>472</v>
      </c>
      <c r="B464" s="2">
        <v>45733</v>
      </c>
      <c r="C464" t="s">
        <v>513</v>
      </c>
      <c r="D464" t="s">
        <v>516</v>
      </c>
      <c r="E464">
        <v>8414.31</v>
      </c>
      <c r="F464">
        <v>7061.81</v>
      </c>
      <c r="G464">
        <v>72374</v>
      </c>
      <c r="H464">
        <v>1961</v>
      </c>
      <c r="I464">
        <v>102</v>
      </c>
      <c r="J464">
        <v>5007.6499999999996</v>
      </c>
      <c r="K464">
        <f t="shared" si="49"/>
        <v>2.709536573907757E-2</v>
      </c>
      <c r="L464">
        <f t="shared" si="50"/>
        <v>3.6011269760326368</v>
      </c>
      <c r="M464">
        <f t="shared" si="51"/>
        <v>69.23343137254902</v>
      </c>
      <c r="N464">
        <f t="shared" si="52"/>
        <v>0.70911706772059846</v>
      </c>
      <c r="O464">
        <f t="shared" si="53"/>
        <v>-2054.1600000000008</v>
      </c>
      <c r="P464">
        <f t="shared" si="54"/>
        <v>-41.020438728745042</v>
      </c>
      <c r="Q464" s="4" t="str">
        <f t="shared" si="55"/>
        <v>2025-03</v>
      </c>
    </row>
    <row r="465" spans="1:17" x14ac:dyDescent="0.3">
      <c r="A465" t="s">
        <v>473</v>
      </c>
      <c r="B465" s="2">
        <v>45736</v>
      </c>
      <c r="C465" t="s">
        <v>512</v>
      </c>
      <c r="D465" t="s">
        <v>517</v>
      </c>
      <c r="E465">
        <v>6176.53</v>
      </c>
      <c r="F465">
        <v>5378.62</v>
      </c>
      <c r="G465">
        <v>194426</v>
      </c>
      <c r="H465">
        <v>2729</v>
      </c>
      <c r="I465">
        <v>147</v>
      </c>
      <c r="J465">
        <v>3264.12</v>
      </c>
      <c r="K465">
        <f t="shared" si="49"/>
        <v>1.4036188575602029E-2</v>
      </c>
      <c r="L465">
        <f t="shared" si="50"/>
        <v>1.9709124221326493</v>
      </c>
      <c r="M465">
        <f t="shared" si="51"/>
        <v>36.589251700680272</v>
      </c>
      <c r="N465">
        <f t="shared" si="52"/>
        <v>0.60686942003710986</v>
      </c>
      <c r="O465">
        <f t="shared" si="53"/>
        <v>-2114.5</v>
      </c>
      <c r="P465">
        <f t="shared" si="54"/>
        <v>-64.780093869097954</v>
      </c>
      <c r="Q465" s="4" t="str">
        <f t="shared" si="55"/>
        <v>2025-03</v>
      </c>
    </row>
    <row r="466" spans="1:17" x14ac:dyDescent="0.3">
      <c r="A466" t="s">
        <v>474</v>
      </c>
      <c r="B466" s="2">
        <v>45761</v>
      </c>
      <c r="C466" t="s">
        <v>513</v>
      </c>
      <c r="D466" t="s">
        <v>516</v>
      </c>
      <c r="E466">
        <v>4188.3100000000004</v>
      </c>
      <c r="F466">
        <v>4003.74</v>
      </c>
      <c r="G466">
        <v>63381</v>
      </c>
      <c r="H466">
        <v>1826</v>
      </c>
      <c r="I466">
        <v>231</v>
      </c>
      <c r="J466">
        <v>6955.43</v>
      </c>
      <c r="K466">
        <f t="shared" si="49"/>
        <v>2.8809895710070841E-2</v>
      </c>
      <c r="L466">
        <f t="shared" si="50"/>
        <v>2.1926286966046002</v>
      </c>
      <c r="M466">
        <f t="shared" si="51"/>
        <v>17.33220779220779</v>
      </c>
      <c r="N466">
        <f t="shared" si="52"/>
        <v>1.7372331869701831</v>
      </c>
      <c r="O466">
        <f t="shared" si="53"/>
        <v>2951.6900000000005</v>
      </c>
      <c r="P466">
        <f t="shared" si="54"/>
        <v>42.437203738661744</v>
      </c>
      <c r="Q466" s="4" t="str">
        <f t="shared" si="55"/>
        <v>2025-04</v>
      </c>
    </row>
    <row r="467" spans="1:17" x14ac:dyDescent="0.3">
      <c r="A467" t="s">
        <v>475</v>
      </c>
      <c r="B467" s="2">
        <v>45719</v>
      </c>
      <c r="C467" t="s">
        <v>514</v>
      </c>
      <c r="D467" t="s">
        <v>516</v>
      </c>
      <c r="E467">
        <v>8802.18</v>
      </c>
      <c r="F467">
        <v>8179.57</v>
      </c>
      <c r="G467">
        <v>109943</v>
      </c>
      <c r="H467">
        <v>4843</v>
      </c>
      <c r="I467">
        <v>579</v>
      </c>
      <c r="J467">
        <v>15900.17</v>
      </c>
      <c r="K467">
        <f t="shared" si="49"/>
        <v>4.4050098687501704E-2</v>
      </c>
      <c r="L467">
        <f t="shared" si="50"/>
        <v>1.6889469337187692</v>
      </c>
      <c r="M467">
        <f t="shared" si="51"/>
        <v>14.127063903281519</v>
      </c>
      <c r="N467">
        <f t="shared" si="52"/>
        <v>1.9438882484042561</v>
      </c>
      <c r="O467">
        <f t="shared" si="53"/>
        <v>7720.6</v>
      </c>
      <c r="P467">
        <f t="shared" si="54"/>
        <v>48.556713544572169</v>
      </c>
      <c r="Q467" s="4" t="str">
        <f t="shared" si="55"/>
        <v>2025-03</v>
      </c>
    </row>
    <row r="468" spans="1:17" x14ac:dyDescent="0.3">
      <c r="A468" t="s">
        <v>476</v>
      </c>
      <c r="B468" s="2">
        <v>45768</v>
      </c>
      <c r="C468" t="s">
        <v>513</v>
      </c>
      <c r="D468" t="s">
        <v>518</v>
      </c>
      <c r="E468">
        <v>7320.01</v>
      </c>
      <c r="F468">
        <v>7408.09</v>
      </c>
      <c r="G468">
        <v>142900</v>
      </c>
      <c r="H468">
        <v>3707</v>
      </c>
      <c r="I468">
        <v>151</v>
      </c>
      <c r="J468">
        <v>3776.7</v>
      </c>
      <c r="K468">
        <f t="shared" si="49"/>
        <v>2.5941217634709586E-2</v>
      </c>
      <c r="L468">
        <f t="shared" si="50"/>
        <v>1.99840571891017</v>
      </c>
      <c r="M468">
        <f t="shared" si="51"/>
        <v>49.060198675496693</v>
      </c>
      <c r="N468">
        <f t="shared" si="52"/>
        <v>0.50980752123691797</v>
      </c>
      <c r="O468">
        <f t="shared" si="53"/>
        <v>-3631.3900000000003</v>
      </c>
      <c r="P468">
        <f t="shared" si="54"/>
        <v>-96.152461143326192</v>
      </c>
      <c r="Q468" s="4" t="str">
        <f t="shared" si="55"/>
        <v>2025-04</v>
      </c>
    </row>
    <row r="469" spans="1:17" x14ac:dyDescent="0.3">
      <c r="A469" t="s">
        <v>477</v>
      </c>
      <c r="B469" s="2">
        <v>45666</v>
      </c>
      <c r="C469" t="s">
        <v>513</v>
      </c>
      <c r="D469" t="s">
        <v>517</v>
      </c>
      <c r="E469">
        <v>4173.33</v>
      </c>
      <c r="F469">
        <v>3384.58</v>
      </c>
      <c r="G469">
        <v>197974</v>
      </c>
      <c r="H469">
        <v>4601</v>
      </c>
      <c r="I469">
        <v>675</v>
      </c>
      <c r="J469">
        <v>28412.14</v>
      </c>
      <c r="K469">
        <f t="shared" si="49"/>
        <v>2.3240425510420559E-2</v>
      </c>
      <c r="L469">
        <f t="shared" si="50"/>
        <v>0.73561834383829605</v>
      </c>
      <c r="M469">
        <f t="shared" si="51"/>
        <v>5.0141925925925923</v>
      </c>
      <c r="N469">
        <f t="shared" si="52"/>
        <v>8.3945836706474655</v>
      </c>
      <c r="O469">
        <f t="shared" si="53"/>
        <v>25027.559999999998</v>
      </c>
      <c r="P469">
        <f t="shared" si="54"/>
        <v>88.087556938688877</v>
      </c>
      <c r="Q469" s="4" t="str">
        <f t="shared" si="55"/>
        <v>2025-01</v>
      </c>
    </row>
    <row r="470" spans="1:17" x14ac:dyDescent="0.3">
      <c r="A470" t="s">
        <v>478</v>
      </c>
      <c r="B470" s="2">
        <v>45811</v>
      </c>
      <c r="C470" t="s">
        <v>510</v>
      </c>
      <c r="D470" t="s">
        <v>516</v>
      </c>
      <c r="E470">
        <v>7646.63</v>
      </c>
      <c r="F470">
        <v>7206.1</v>
      </c>
      <c r="G470">
        <v>102196</v>
      </c>
      <c r="H470">
        <v>4290</v>
      </c>
      <c r="I470">
        <v>391</v>
      </c>
      <c r="J470">
        <v>17722.12</v>
      </c>
      <c r="K470">
        <f t="shared" si="49"/>
        <v>4.1978159614857721E-2</v>
      </c>
      <c r="L470">
        <f t="shared" si="50"/>
        <v>1.6797435897435897</v>
      </c>
      <c r="M470">
        <f t="shared" si="51"/>
        <v>18.429923273657291</v>
      </c>
      <c r="N470">
        <f t="shared" si="52"/>
        <v>2.4593219633366172</v>
      </c>
      <c r="O470">
        <f t="shared" si="53"/>
        <v>10516.019999999999</v>
      </c>
      <c r="P470">
        <f t="shared" si="54"/>
        <v>59.338386152446766</v>
      </c>
      <c r="Q470" s="4" t="str">
        <f t="shared" si="55"/>
        <v>2025-06</v>
      </c>
    </row>
    <row r="471" spans="1:17" x14ac:dyDescent="0.3">
      <c r="A471" t="s">
        <v>479</v>
      </c>
      <c r="B471" s="2">
        <v>45686</v>
      </c>
      <c r="C471" t="s">
        <v>510</v>
      </c>
      <c r="D471" t="s">
        <v>515</v>
      </c>
      <c r="E471">
        <v>8639.69</v>
      </c>
      <c r="F471">
        <v>8428.94</v>
      </c>
      <c r="G471">
        <v>72102</v>
      </c>
      <c r="H471">
        <v>2351</v>
      </c>
      <c r="I471">
        <v>159</v>
      </c>
      <c r="J471">
        <v>7321.65</v>
      </c>
      <c r="K471">
        <f t="shared" si="49"/>
        <v>3.2606585115530773E-2</v>
      </c>
      <c r="L471">
        <f t="shared" si="50"/>
        <v>3.5852573373032754</v>
      </c>
      <c r="M471">
        <f t="shared" si="51"/>
        <v>53.012201257861641</v>
      </c>
      <c r="N471">
        <f t="shared" si="52"/>
        <v>0.86863235472075961</v>
      </c>
      <c r="O471">
        <f t="shared" si="53"/>
        <v>-1107.2900000000009</v>
      </c>
      <c r="P471">
        <f t="shared" si="54"/>
        <v>-15.123503581842904</v>
      </c>
      <c r="Q471" s="4" t="str">
        <f t="shared" si="55"/>
        <v>2025-01</v>
      </c>
    </row>
    <row r="472" spans="1:17" x14ac:dyDescent="0.3">
      <c r="A472" t="s">
        <v>480</v>
      </c>
      <c r="B472" s="2">
        <v>45806</v>
      </c>
      <c r="C472" t="s">
        <v>510</v>
      </c>
      <c r="D472" t="s">
        <v>517</v>
      </c>
      <c r="E472">
        <v>4440.8900000000003</v>
      </c>
      <c r="F472">
        <v>3701.82</v>
      </c>
      <c r="G472">
        <v>138622</v>
      </c>
      <c r="H472">
        <v>4757</v>
      </c>
      <c r="I472">
        <v>629</v>
      </c>
      <c r="J472">
        <v>17670.18</v>
      </c>
      <c r="K472">
        <f t="shared" si="49"/>
        <v>3.4316342283331649E-2</v>
      </c>
      <c r="L472">
        <f t="shared" si="50"/>
        <v>0.77818372924111834</v>
      </c>
      <c r="M472">
        <f t="shared" si="51"/>
        <v>5.8852464228934815</v>
      </c>
      <c r="N472">
        <f t="shared" si="52"/>
        <v>4.7733763392061199</v>
      </c>
      <c r="O472">
        <f t="shared" si="53"/>
        <v>13968.36</v>
      </c>
      <c r="P472">
        <f t="shared" si="54"/>
        <v>79.050468076725878</v>
      </c>
      <c r="Q472" s="4" t="str">
        <f t="shared" si="55"/>
        <v>2025-05</v>
      </c>
    </row>
    <row r="473" spans="1:17" x14ac:dyDescent="0.3">
      <c r="A473" t="s">
        <v>481</v>
      </c>
      <c r="B473" s="2">
        <v>45654</v>
      </c>
      <c r="C473" t="s">
        <v>514</v>
      </c>
      <c r="D473" t="s">
        <v>516</v>
      </c>
      <c r="E473">
        <v>3399.61</v>
      </c>
      <c r="F473">
        <v>3261.42</v>
      </c>
      <c r="G473">
        <v>75127</v>
      </c>
      <c r="H473">
        <v>3158</v>
      </c>
      <c r="I473">
        <v>620</v>
      </c>
      <c r="J473">
        <v>29820.87</v>
      </c>
      <c r="K473">
        <f t="shared" si="49"/>
        <v>4.2035486576064533E-2</v>
      </c>
      <c r="L473">
        <f t="shared" si="50"/>
        <v>1.0327485750474985</v>
      </c>
      <c r="M473">
        <f t="shared" si="51"/>
        <v>5.2603548387096772</v>
      </c>
      <c r="N473">
        <f t="shared" si="52"/>
        <v>9.1435233732545935</v>
      </c>
      <c r="O473">
        <f t="shared" si="53"/>
        <v>26559.449999999997</v>
      </c>
      <c r="P473">
        <f t="shared" si="54"/>
        <v>89.063296946064952</v>
      </c>
      <c r="Q473" s="4" t="str">
        <f t="shared" si="55"/>
        <v>2024-12</v>
      </c>
    </row>
    <row r="474" spans="1:17" x14ac:dyDescent="0.3">
      <c r="A474" t="s">
        <v>482</v>
      </c>
      <c r="B474" s="2">
        <v>45674</v>
      </c>
      <c r="C474" t="s">
        <v>513</v>
      </c>
      <c r="D474" t="s">
        <v>517</v>
      </c>
      <c r="E474">
        <v>3275.4</v>
      </c>
      <c r="F474">
        <v>2740.31</v>
      </c>
      <c r="G474">
        <v>65706</v>
      </c>
      <c r="H474">
        <v>3012</v>
      </c>
      <c r="I474">
        <v>475</v>
      </c>
      <c r="J474">
        <v>15943.84</v>
      </c>
      <c r="K474">
        <f t="shared" si="49"/>
        <v>4.5840562505707241E-2</v>
      </c>
      <c r="L474">
        <f t="shared" si="50"/>
        <v>0.90979747675962819</v>
      </c>
      <c r="M474">
        <f t="shared" si="51"/>
        <v>5.7690736842105261</v>
      </c>
      <c r="N474">
        <f t="shared" si="52"/>
        <v>5.8182614375745816</v>
      </c>
      <c r="O474">
        <f t="shared" si="53"/>
        <v>13203.53</v>
      </c>
      <c r="P474">
        <f t="shared" si="54"/>
        <v>82.812735200553945</v>
      </c>
      <c r="Q474" s="4" t="str">
        <f t="shared" si="55"/>
        <v>2025-01</v>
      </c>
    </row>
    <row r="475" spans="1:17" x14ac:dyDescent="0.3">
      <c r="A475" t="s">
        <v>483</v>
      </c>
      <c r="B475" s="2">
        <v>45782</v>
      </c>
      <c r="C475" t="s">
        <v>514</v>
      </c>
      <c r="D475" t="s">
        <v>516</v>
      </c>
      <c r="E475">
        <v>9537.1299999999992</v>
      </c>
      <c r="F475">
        <v>8534.27</v>
      </c>
      <c r="G475">
        <v>59862</v>
      </c>
      <c r="H475">
        <v>2333</v>
      </c>
      <c r="I475">
        <v>272</v>
      </c>
      <c r="J475">
        <v>9579.0400000000009</v>
      </c>
      <c r="K475">
        <f t="shared" si="49"/>
        <v>3.8972971167017471E-2</v>
      </c>
      <c r="L475">
        <f t="shared" si="50"/>
        <v>3.6580668666952425</v>
      </c>
      <c r="M475">
        <f t="shared" si="51"/>
        <v>31.375992647058826</v>
      </c>
      <c r="N475">
        <f t="shared" si="52"/>
        <v>1.1224205468071669</v>
      </c>
      <c r="O475">
        <f t="shared" si="53"/>
        <v>1044.7700000000004</v>
      </c>
      <c r="P475">
        <f t="shared" si="54"/>
        <v>10.906834087758275</v>
      </c>
      <c r="Q475" s="4" t="str">
        <f t="shared" si="55"/>
        <v>2025-05</v>
      </c>
    </row>
    <row r="476" spans="1:17" x14ac:dyDescent="0.3">
      <c r="A476" t="s">
        <v>484</v>
      </c>
      <c r="B476" s="2">
        <v>45658</v>
      </c>
      <c r="C476" t="s">
        <v>513</v>
      </c>
      <c r="D476" t="s">
        <v>517</v>
      </c>
      <c r="E476">
        <v>3291.01</v>
      </c>
      <c r="F476">
        <v>2779.27</v>
      </c>
      <c r="G476">
        <v>74195</v>
      </c>
      <c r="H476">
        <v>2526</v>
      </c>
      <c r="I476">
        <v>392</v>
      </c>
      <c r="J476">
        <v>19442.77</v>
      </c>
      <c r="K476">
        <f t="shared" si="49"/>
        <v>3.4045420850461625E-2</v>
      </c>
      <c r="L476">
        <f t="shared" si="50"/>
        <v>1.1002652414885195</v>
      </c>
      <c r="M476">
        <f t="shared" si="51"/>
        <v>7.0899744897959183</v>
      </c>
      <c r="N476">
        <f t="shared" si="52"/>
        <v>6.9956391426525668</v>
      </c>
      <c r="O476">
        <f t="shared" si="53"/>
        <v>16663.5</v>
      </c>
      <c r="P476">
        <f t="shared" si="54"/>
        <v>85.705380457619967</v>
      </c>
      <c r="Q476" s="4" t="str">
        <f t="shared" si="55"/>
        <v>2025-01</v>
      </c>
    </row>
    <row r="477" spans="1:17" x14ac:dyDescent="0.3">
      <c r="A477" t="s">
        <v>485</v>
      </c>
      <c r="B477" s="2">
        <v>45682</v>
      </c>
      <c r="C477" t="s">
        <v>514</v>
      </c>
      <c r="D477" t="s">
        <v>517</v>
      </c>
      <c r="E477">
        <v>9755.83</v>
      </c>
      <c r="F477">
        <v>7819.12</v>
      </c>
      <c r="G477">
        <v>175747</v>
      </c>
      <c r="H477">
        <v>7548</v>
      </c>
      <c r="I477">
        <v>1026</v>
      </c>
      <c r="J477">
        <v>49816.77</v>
      </c>
      <c r="K477">
        <f t="shared" si="49"/>
        <v>4.2948101532316339E-2</v>
      </c>
      <c r="L477">
        <f t="shared" si="50"/>
        <v>1.0359194488606254</v>
      </c>
      <c r="M477">
        <f t="shared" si="51"/>
        <v>7.6209746588693958</v>
      </c>
      <c r="N477">
        <f t="shared" si="52"/>
        <v>6.3711479041119716</v>
      </c>
      <c r="O477">
        <f t="shared" si="53"/>
        <v>41997.649999999994</v>
      </c>
      <c r="P477">
        <f t="shared" si="54"/>
        <v>84.304241322751352</v>
      </c>
      <c r="Q477" s="4" t="str">
        <f t="shared" si="55"/>
        <v>2025-01</v>
      </c>
    </row>
    <row r="478" spans="1:17" x14ac:dyDescent="0.3">
      <c r="A478" t="s">
        <v>486</v>
      </c>
      <c r="B478" s="2">
        <v>45684</v>
      </c>
      <c r="C478" t="s">
        <v>511</v>
      </c>
      <c r="D478" t="s">
        <v>518</v>
      </c>
      <c r="E478">
        <v>7473.84</v>
      </c>
      <c r="F478">
        <v>7925.08</v>
      </c>
      <c r="G478">
        <v>150368</v>
      </c>
      <c r="H478">
        <v>2680</v>
      </c>
      <c r="I478">
        <v>75</v>
      </c>
      <c r="J478">
        <v>2523.16</v>
      </c>
      <c r="K478">
        <f t="shared" si="49"/>
        <v>1.7822941051287507E-2</v>
      </c>
      <c r="L478">
        <f t="shared" si="50"/>
        <v>2.9571194029850747</v>
      </c>
      <c r="M478">
        <f t="shared" si="51"/>
        <v>105.66773333333333</v>
      </c>
      <c r="N478">
        <f t="shared" si="52"/>
        <v>0.31837659682930641</v>
      </c>
      <c r="O478">
        <f t="shared" si="53"/>
        <v>-5401.92</v>
      </c>
      <c r="P478">
        <f t="shared" si="54"/>
        <v>-214.09343838678484</v>
      </c>
      <c r="Q478" s="4" t="str">
        <f t="shared" si="55"/>
        <v>2025-01</v>
      </c>
    </row>
    <row r="479" spans="1:17" x14ac:dyDescent="0.3">
      <c r="A479" t="s">
        <v>487</v>
      </c>
      <c r="B479" s="2">
        <v>45802</v>
      </c>
      <c r="C479" t="s">
        <v>513</v>
      </c>
      <c r="D479" t="s">
        <v>518</v>
      </c>
      <c r="E479">
        <v>6609.17</v>
      </c>
      <c r="F479">
        <v>6256.6</v>
      </c>
      <c r="G479">
        <v>199789</v>
      </c>
      <c r="H479">
        <v>2837</v>
      </c>
      <c r="I479">
        <v>387</v>
      </c>
      <c r="J479">
        <v>15482.29</v>
      </c>
      <c r="K479">
        <f t="shared" si="49"/>
        <v>1.4199980979933829E-2</v>
      </c>
      <c r="L479">
        <f t="shared" si="50"/>
        <v>2.2053577722946778</v>
      </c>
      <c r="M479">
        <f t="shared" si="51"/>
        <v>16.166925064599486</v>
      </c>
      <c r="N479">
        <f t="shared" si="52"/>
        <v>2.4745532717450374</v>
      </c>
      <c r="O479">
        <f t="shared" si="53"/>
        <v>9225.69</v>
      </c>
      <c r="P479">
        <f t="shared" si="54"/>
        <v>59.588665501033766</v>
      </c>
      <c r="Q479" s="4" t="str">
        <f t="shared" si="55"/>
        <v>2025-05</v>
      </c>
    </row>
    <row r="480" spans="1:17" x14ac:dyDescent="0.3">
      <c r="A480" t="s">
        <v>488</v>
      </c>
      <c r="B480" s="2">
        <v>45778</v>
      </c>
      <c r="C480" t="s">
        <v>514</v>
      </c>
      <c r="D480" t="s">
        <v>516</v>
      </c>
      <c r="E480">
        <v>3977.56</v>
      </c>
      <c r="F480">
        <v>3217.81</v>
      </c>
      <c r="G480">
        <v>183098</v>
      </c>
      <c r="H480">
        <v>3716</v>
      </c>
      <c r="I480">
        <v>153</v>
      </c>
      <c r="J480">
        <v>4473.3999999999996</v>
      </c>
      <c r="K480">
        <f t="shared" si="49"/>
        <v>2.0295142491998819E-2</v>
      </c>
      <c r="L480">
        <f t="shared" si="50"/>
        <v>0.86593379978471474</v>
      </c>
      <c r="M480">
        <f t="shared" si="51"/>
        <v>21.031437908496731</v>
      </c>
      <c r="N480">
        <f t="shared" si="52"/>
        <v>1.3902001671944582</v>
      </c>
      <c r="O480">
        <f t="shared" si="53"/>
        <v>1255.5899999999997</v>
      </c>
      <c r="P480">
        <f t="shared" si="54"/>
        <v>28.067912549738448</v>
      </c>
      <c r="Q480" s="4" t="str">
        <f t="shared" si="55"/>
        <v>2025-05</v>
      </c>
    </row>
    <row r="481" spans="1:17" x14ac:dyDescent="0.3">
      <c r="A481" t="s">
        <v>489</v>
      </c>
      <c r="B481" s="2">
        <v>45773</v>
      </c>
      <c r="C481" t="s">
        <v>510</v>
      </c>
      <c r="D481" t="s">
        <v>518</v>
      </c>
      <c r="E481">
        <v>7932.77</v>
      </c>
      <c r="F481">
        <v>6826.59</v>
      </c>
      <c r="G481">
        <v>170452</v>
      </c>
      <c r="H481">
        <v>8283</v>
      </c>
      <c r="I481">
        <v>370</v>
      </c>
      <c r="J481">
        <v>14875.1</v>
      </c>
      <c r="K481">
        <f t="shared" si="49"/>
        <v>4.8594325675263415E-2</v>
      </c>
      <c r="L481">
        <f t="shared" si="50"/>
        <v>0.82416877942774358</v>
      </c>
      <c r="M481">
        <f t="shared" si="51"/>
        <v>18.450243243243243</v>
      </c>
      <c r="N481">
        <f t="shared" si="52"/>
        <v>2.1789941976887435</v>
      </c>
      <c r="O481">
        <f t="shared" si="53"/>
        <v>8048.51</v>
      </c>
      <c r="P481">
        <f t="shared" si="54"/>
        <v>54.107266505771392</v>
      </c>
      <c r="Q481" s="4" t="str">
        <f t="shared" si="55"/>
        <v>2025-04</v>
      </c>
    </row>
    <row r="482" spans="1:17" x14ac:dyDescent="0.3">
      <c r="A482" t="s">
        <v>490</v>
      </c>
      <c r="B482" s="2">
        <v>45710</v>
      </c>
      <c r="C482" t="s">
        <v>511</v>
      </c>
      <c r="D482" t="s">
        <v>518</v>
      </c>
      <c r="E482">
        <v>9789.3799999999992</v>
      </c>
      <c r="F482">
        <v>8107.27</v>
      </c>
      <c r="G482">
        <v>118097</v>
      </c>
      <c r="H482">
        <v>1117</v>
      </c>
      <c r="I482">
        <v>118</v>
      </c>
      <c r="J482">
        <v>4741.01</v>
      </c>
      <c r="K482">
        <f t="shared" si="49"/>
        <v>9.4583266298043141E-3</v>
      </c>
      <c r="L482">
        <f t="shared" si="50"/>
        <v>7.2580752014324084</v>
      </c>
      <c r="M482">
        <f t="shared" si="51"/>
        <v>68.705677966101703</v>
      </c>
      <c r="N482">
        <f t="shared" si="52"/>
        <v>0.58478501394427473</v>
      </c>
      <c r="O482">
        <f t="shared" si="53"/>
        <v>-3366.26</v>
      </c>
      <c r="P482">
        <f t="shared" si="54"/>
        <v>-71.003014125682085</v>
      </c>
      <c r="Q482" s="4" t="str">
        <f t="shared" si="55"/>
        <v>2025-02</v>
      </c>
    </row>
    <row r="483" spans="1:17" x14ac:dyDescent="0.3">
      <c r="A483" t="s">
        <v>491</v>
      </c>
      <c r="B483" s="2">
        <v>45804</v>
      </c>
      <c r="C483" t="s">
        <v>510</v>
      </c>
      <c r="D483" t="s">
        <v>516</v>
      </c>
      <c r="E483">
        <v>6106.25</v>
      </c>
      <c r="F483">
        <v>6475.33</v>
      </c>
      <c r="G483">
        <v>115700</v>
      </c>
      <c r="H483">
        <v>2582</v>
      </c>
      <c r="I483">
        <v>147</v>
      </c>
      <c r="J483">
        <v>3721.23</v>
      </c>
      <c r="K483">
        <f t="shared" si="49"/>
        <v>2.2316335350043216E-2</v>
      </c>
      <c r="L483">
        <f t="shared" si="50"/>
        <v>2.5078737412858247</v>
      </c>
      <c r="M483">
        <f t="shared" si="51"/>
        <v>44.049863945578231</v>
      </c>
      <c r="N483">
        <f t="shared" si="52"/>
        <v>0.57467804729643124</v>
      </c>
      <c r="O483">
        <f t="shared" si="53"/>
        <v>-2754.1</v>
      </c>
      <c r="P483">
        <f t="shared" si="54"/>
        <v>-74.010475031105301</v>
      </c>
      <c r="Q483" s="4" t="str">
        <f t="shared" si="55"/>
        <v>2025-05</v>
      </c>
    </row>
    <row r="484" spans="1:17" x14ac:dyDescent="0.3">
      <c r="A484" t="s">
        <v>492</v>
      </c>
      <c r="B484" s="2">
        <v>45710</v>
      </c>
      <c r="C484" t="s">
        <v>512</v>
      </c>
      <c r="D484" t="s">
        <v>517</v>
      </c>
      <c r="E484">
        <v>7848.38</v>
      </c>
      <c r="F484">
        <v>8252.06</v>
      </c>
      <c r="G484">
        <v>55522</v>
      </c>
      <c r="H484">
        <v>2245</v>
      </c>
      <c r="I484">
        <v>185</v>
      </c>
      <c r="J484">
        <v>8942.61</v>
      </c>
      <c r="K484">
        <f t="shared" si="49"/>
        <v>4.0434422391124242E-2</v>
      </c>
      <c r="L484">
        <f t="shared" si="50"/>
        <v>3.675750556792873</v>
      </c>
      <c r="M484">
        <f t="shared" si="51"/>
        <v>44.605729729729724</v>
      </c>
      <c r="N484">
        <f t="shared" si="52"/>
        <v>1.0836821351274712</v>
      </c>
      <c r="O484">
        <f t="shared" si="53"/>
        <v>690.55000000000109</v>
      </c>
      <c r="P484">
        <f t="shared" si="54"/>
        <v>7.722018515847175</v>
      </c>
      <c r="Q484" s="4" t="str">
        <f t="shared" si="55"/>
        <v>2025-02</v>
      </c>
    </row>
    <row r="485" spans="1:17" x14ac:dyDescent="0.3">
      <c r="A485" t="s">
        <v>493</v>
      </c>
      <c r="B485" s="2">
        <v>45775</v>
      </c>
      <c r="C485" t="s">
        <v>511</v>
      </c>
      <c r="D485" t="s">
        <v>516</v>
      </c>
      <c r="E485">
        <v>7782.74</v>
      </c>
      <c r="F485">
        <v>7387.01</v>
      </c>
      <c r="G485">
        <v>150531</v>
      </c>
      <c r="H485">
        <v>3586</v>
      </c>
      <c r="I485">
        <v>622</v>
      </c>
      <c r="J485">
        <v>23969.03</v>
      </c>
      <c r="K485">
        <f t="shared" si="49"/>
        <v>2.3822335598647455E-2</v>
      </c>
      <c r="L485">
        <f t="shared" si="50"/>
        <v>2.059958170663692</v>
      </c>
      <c r="M485">
        <f t="shared" si="51"/>
        <v>11.876221864951768</v>
      </c>
      <c r="N485">
        <f t="shared" si="52"/>
        <v>3.24475396676057</v>
      </c>
      <c r="O485">
        <f t="shared" si="53"/>
        <v>16582.019999999997</v>
      </c>
      <c r="P485">
        <f t="shared" si="54"/>
        <v>69.181022344250053</v>
      </c>
      <c r="Q485" s="4" t="str">
        <f t="shared" si="55"/>
        <v>2025-04</v>
      </c>
    </row>
    <row r="486" spans="1:17" x14ac:dyDescent="0.3">
      <c r="A486" t="s">
        <v>494</v>
      </c>
      <c r="B486" s="2">
        <v>45752</v>
      </c>
      <c r="C486" t="s">
        <v>513</v>
      </c>
      <c r="D486" t="s">
        <v>516</v>
      </c>
      <c r="E486">
        <v>9082.33</v>
      </c>
      <c r="F486">
        <v>8820.6</v>
      </c>
      <c r="G486">
        <v>103488</v>
      </c>
      <c r="H486">
        <v>2459</v>
      </c>
      <c r="I486">
        <v>416</v>
      </c>
      <c r="J486">
        <v>8699.23</v>
      </c>
      <c r="K486">
        <f t="shared" si="49"/>
        <v>2.3761209029066171E-2</v>
      </c>
      <c r="L486">
        <f t="shared" si="50"/>
        <v>3.5870679137860919</v>
      </c>
      <c r="M486">
        <f t="shared" si="51"/>
        <v>21.203365384615385</v>
      </c>
      <c r="N486">
        <f t="shared" si="52"/>
        <v>0.98624016506813583</v>
      </c>
      <c r="O486">
        <f t="shared" si="53"/>
        <v>-121.3700000000008</v>
      </c>
      <c r="P486">
        <f t="shared" si="54"/>
        <v>-1.395180952796981</v>
      </c>
      <c r="Q486" s="4" t="str">
        <f t="shared" si="55"/>
        <v>2025-04</v>
      </c>
    </row>
    <row r="487" spans="1:17" x14ac:dyDescent="0.3">
      <c r="A487" t="s">
        <v>495</v>
      </c>
      <c r="B487" s="2">
        <v>45674</v>
      </c>
      <c r="C487" t="s">
        <v>514</v>
      </c>
      <c r="D487" t="s">
        <v>517</v>
      </c>
      <c r="E487">
        <v>9516.64</v>
      </c>
      <c r="F487">
        <v>9581.91</v>
      </c>
      <c r="G487">
        <v>84687</v>
      </c>
      <c r="H487">
        <v>2681</v>
      </c>
      <c r="I487">
        <v>448</v>
      </c>
      <c r="J487">
        <v>18052.34</v>
      </c>
      <c r="K487">
        <f t="shared" si="49"/>
        <v>3.1657751484879613E-2</v>
      </c>
      <c r="L487">
        <f t="shared" si="50"/>
        <v>3.574005967922417</v>
      </c>
      <c r="M487">
        <f t="shared" si="51"/>
        <v>21.388191964285713</v>
      </c>
      <c r="N487">
        <f t="shared" si="52"/>
        <v>1.8840022500733153</v>
      </c>
      <c r="O487">
        <f t="shared" si="53"/>
        <v>8470.43</v>
      </c>
      <c r="P487">
        <f t="shared" si="54"/>
        <v>46.921507128715724</v>
      </c>
      <c r="Q487" s="4" t="str">
        <f t="shared" si="55"/>
        <v>2025-01</v>
      </c>
    </row>
    <row r="488" spans="1:17" x14ac:dyDescent="0.3">
      <c r="A488" t="s">
        <v>496</v>
      </c>
      <c r="B488" s="2">
        <v>45695</v>
      </c>
      <c r="C488" t="s">
        <v>514</v>
      </c>
      <c r="D488" t="s">
        <v>517</v>
      </c>
      <c r="E488">
        <v>4509.7299999999996</v>
      </c>
      <c r="F488">
        <v>4499.2</v>
      </c>
      <c r="G488">
        <v>147771</v>
      </c>
      <c r="H488">
        <v>5682</v>
      </c>
      <c r="I488">
        <v>699</v>
      </c>
      <c r="J488">
        <v>22239.34</v>
      </c>
      <c r="K488">
        <f t="shared" si="49"/>
        <v>3.8451387620033702E-2</v>
      </c>
      <c r="L488">
        <f t="shared" si="50"/>
        <v>0.79183386131643785</v>
      </c>
      <c r="M488">
        <f t="shared" si="51"/>
        <v>6.4366237482117308</v>
      </c>
      <c r="N488">
        <f t="shared" si="52"/>
        <v>4.9429543029871983</v>
      </c>
      <c r="O488">
        <f t="shared" si="53"/>
        <v>17740.14</v>
      </c>
      <c r="P488">
        <f t="shared" si="54"/>
        <v>79.769183797720615</v>
      </c>
      <c r="Q488" s="4" t="str">
        <f t="shared" si="55"/>
        <v>2025-02</v>
      </c>
    </row>
    <row r="489" spans="1:17" x14ac:dyDescent="0.3">
      <c r="A489" t="s">
        <v>497</v>
      </c>
      <c r="B489" s="2">
        <v>45708</v>
      </c>
      <c r="C489" t="s">
        <v>510</v>
      </c>
      <c r="D489" t="s">
        <v>518</v>
      </c>
      <c r="E489">
        <v>7558.63</v>
      </c>
      <c r="F489">
        <v>6288.61</v>
      </c>
      <c r="G489">
        <v>112643</v>
      </c>
      <c r="H489">
        <v>4673</v>
      </c>
      <c r="I489">
        <v>506</v>
      </c>
      <c r="J489">
        <v>20106.09</v>
      </c>
      <c r="K489">
        <f t="shared" si="49"/>
        <v>4.1485045675274987E-2</v>
      </c>
      <c r="L489">
        <f t="shared" si="50"/>
        <v>1.3457329338754547</v>
      </c>
      <c r="M489">
        <f t="shared" si="51"/>
        <v>12.428083003952569</v>
      </c>
      <c r="N489">
        <f t="shared" si="52"/>
        <v>3.197223233751179</v>
      </c>
      <c r="O489">
        <f t="shared" si="53"/>
        <v>13817.48</v>
      </c>
      <c r="P489">
        <f t="shared" si="54"/>
        <v>68.722859591297961</v>
      </c>
      <c r="Q489" s="4" t="str">
        <f t="shared" si="55"/>
        <v>2025-02</v>
      </c>
    </row>
    <row r="490" spans="1:17" x14ac:dyDescent="0.3">
      <c r="A490" t="s">
        <v>498</v>
      </c>
      <c r="B490" s="2">
        <v>45680</v>
      </c>
      <c r="C490" t="s">
        <v>512</v>
      </c>
      <c r="D490" t="s">
        <v>517</v>
      </c>
      <c r="E490">
        <v>9995.9</v>
      </c>
      <c r="F490">
        <v>8141.3</v>
      </c>
      <c r="G490">
        <v>99483</v>
      </c>
      <c r="H490">
        <v>4587</v>
      </c>
      <c r="I490">
        <v>250</v>
      </c>
      <c r="J490">
        <v>12328.81</v>
      </c>
      <c r="K490">
        <f t="shared" si="49"/>
        <v>4.6108380326286905E-2</v>
      </c>
      <c r="L490">
        <f t="shared" si="50"/>
        <v>1.7748637453673426</v>
      </c>
      <c r="M490">
        <f t="shared" si="51"/>
        <v>32.565199999999997</v>
      </c>
      <c r="N490">
        <f t="shared" si="52"/>
        <v>1.5143539729527224</v>
      </c>
      <c r="O490">
        <f t="shared" si="53"/>
        <v>4187.5099999999993</v>
      </c>
      <c r="P490">
        <f t="shared" si="54"/>
        <v>33.965240765329334</v>
      </c>
      <c r="Q490" s="4" t="str">
        <f t="shared" si="55"/>
        <v>2025-01</v>
      </c>
    </row>
    <row r="491" spans="1:17" x14ac:dyDescent="0.3">
      <c r="A491" t="s">
        <v>499</v>
      </c>
      <c r="B491" s="2">
        <v>45690</v>
      </c>
      <c r="C491" t="s">
        <v>513</v>
      </c>
      <c r="D491" t="s">
        <v>516</v>
      </c>
      <c r="E491">
        <v>5848.36</v>
      </c>
      <c r="F491">
        <v>6206.43</v>
      </c>
      <c r="G491">
        <v>166799</v>
      </c>
      <c r="H491">
        <v>6009</v>
      </c>
      <c r="I491">
        <v>332</v>
      </c>
      <c r="J491">
        <v>14432.56</v>
      </c>
      <c r="K491">
        <f t="shared" si="49"/>
        <v>3.602539583570645E-2</v>
      </c>
      <c r="L491">
        <f t="shared" si="50"/>
        <v>1.032855716425362</v>
      </c>
      <c r="M491">
        <f t="shared" si="51"/>
        <v>18.694066265060243</v>
      </c>
      <c r="N491">
        <f t="shared" si="52"/>
        <v>2.3254205718907648</v>
      </c>
      <c r="O491">
        <f t="shared" si="53"/>
        <v>8226.1299999999992</v>
      </c>
      <c r="P491">
        <f t="shared" si="54"/>
        <v>56.997026168607647</v>
      </c>
      <c r="Q491" s="4" t="str">
        <f t="shared" si="55"/>
        <v>2025-02</v>
      </c>
    </row>
    <row r="492" spans="1:17" x14ac:dyDescent="0.3">
      <c r="A492" t="s">
        <v>500</v>
      </c>
      <c r="B492" s="2">
        <v>45728</v>
      </c>
      <c r="C492" t="s">
        <v>513</v>
      </c>
      <c r="D492" t="s">
        <v>515</v>
      </c>
      <c r="E492">
        <v>6969.11</v>
      </c>
      <c r="F492">
        <v>7119.19</v>
      </c>
      <c r="G492">
        <v>64146</v>
      </c>
      <c r="H492">
        <v>2927</v>
      </c>
      <c r="I492">
        <v>300</v>
      </c>
      <c r="J492">
        <v>13906.64</v>
      </c>
      <c r="K492">
        <f t="shared" si="49"/>
        <v>4.563028092164749E-2</v>
      </c>
      <c r="L492">
        <f t="shared" si="50"/>
        <v>2.4322480355312606</v>
      </c>
      <c r="M492">
        <f t="shared" si="51"/>
        <v>23.730633333333333</v>
      </c>
      <c r="N492">
        <f t="shared" si="52"/>
        <v>1.9534020021940699</v>
      </c>
      <c r="O492">
        <f t="shared" si="53"/>
        <v>6787.45</v>
      </c>
      <c r="P492">
        <f t="shared" si="54"/>
        <v>48.807260416606745</v>
      </c>
      <c r="Q492" s="4" t="str">
        <f t="shared" si="55"/>
        <v>2025-03</v>
      </c>
    </row>
    <row r="493" spans="1:17" x14ac:dyDescent="0.3">
      <c r="A493" t="s">
        <v>501</v>
      </c>
      <c r="B493" s="2">
        <v>45728</v>
      </c>
      <c r="C493" t="s">
        <v>514</v>
      </c>
      <c r="D493" t="s">
        <v>515</v>
      </c>
      <c r="E493">
        <v>5828.98</v>
      </c>
      <c r="F493">
        <v>5235.0600000000004</v>
      </c>
      <c r="G493">
        <v>165901</v>
      </c>
      <c r="H493">
        <v>3604</v>
      </c>
      <c r="I493">
        <v>431</v>
      </c>
      <c r="J493">
        <v>17251.98</v>
      </c>
      <c r="K493">
        <f t="shared" si="49"/>
        <v>2.1723799133218005E-2</v>
      </c>
      <c r="L493">
        <f t="shared" si="50"/>
        <v>1.4525693673695894</v>
      </c>
      <c r="M493">
        <f t="shared" si="51"/>
        <v>12.14631090487239</v>
      </c>
      <c r="N493">
        <f t="shared" si="52"/>
        <v>3.2954693929009404</v>
      </c>
      <c r="O493">
        <f t="shared" si="53"/>
        <v>12016.919999999998</v>
      </c>
      <c r="P493">
        <f t="shared" si="54"/>
        <v>69.655309129734661</v>
      </c>
      <c r="Q493" s="4" t="str">
        <f t="shared" si="55"/>
        <v>2025-03</v>
      </c>
    </row>
    <row r="494" spans="1:17" x14ac:dyDescent="0.3">
      <c r="A494" t="s">
        <v>502</v>
      </c>
      <c r="B494" s="2">
        <v>45776</v>
      </c>
      <c r="C494" t="s">
        <v>512</v>
      </c>
      <c r="D494" t="s">
        <v>515</v>
      </c>
      <c r="E494">
        <v>8654.92</v>
      </c>
      <c r="F494">
        <v>8903.19</v>
      </c>
      <c r="G494">
        <v>52359</v>
      </c>
      <c r="H494">
        <v>1523</v>
      </c>
      <c r="I494">
        <v>135</v>
      </c>
      <c r="J494">
        <v>5931.15</v>
      </c>
      <c r="K494">
        <f t="shared" si="49"/>
        <v>2.9087644913004449E-2</v>
      </c>
      <c r="L494">
        <f t="shared" si="50"/>
        <v>5.8458240315167433</v>
      </c>
      <c r="M494">
        <f t="shared" si="51"/>
        <v>65.949555555555563</v>
      </c>
      <c r="N494">
        <f t="shared" si="52"/>
        <v>0.66618257051685958</v>
      </c>
      <c r="O494">
        <f t="shared" si="53"/>
        <v>-2972.0400000000009</v>
      </c>
      <c r="P494">
        <f t="shared" si="54"/>
        <v>-50.109000783996372</v>
      </c>
      <c r="Q494" s="4" t="str">
        <f t="shared" si="55"/>
        <v>2025-04</v>
      </c>
    </row>
    <row r="495" spans="1:17" x14ac:dyDescent="0.3">
      <c r="A495" t="s">
        <v>503</v>
      </c>
      <c r="B495" s="2">
        <v>45799</v>
      </c>
      <c r="C495" t="s">
        <v>511</v>
      </c>
      <c r="D495" t="s">
        <v>515</v>
      </c>
      <c r="E495">
        <v>6049.08</v>
      </c>
      <c r="F495">
        <v>6323.41</v>
      </c>
      <c r="G495">
        <v>158601</v>
      </c>
      <c r="H495">
        <v>7199</v>
      </c>
      <c r="I495">
        <v>503</v>
      </c>
      <c r="J495">
        <v>11873.95</v>
      </c>
      <c r="K495">
        <f t="shared" si="49"/>
        <v>4.5390634359178061E-2</v>
      </c>
      <c r="L495">
        <f t="shared" si="50"/>
        <v>0.87837338519238783</v>
      </c>
      <c r="M495">
        <f t="shared" si="51"/>
        <v>12.571391650099404</v>
      </c>
      <c r="N495">
        <f t="shared" si="52"/>
        <v>1.8777763896378696</v>
      </c>
      <c r="O495">
        <f t="shared" si="53"/>
        <v>5550.5400000000009</v>
      </c>
      <c r="P495">
        <f t="shared" si="54"/>
        <v>46.745522762012648</v>
      </c>
      <c r="Q495" s="4" t="str">
        <f t="shared" si="55"/>
        <v>2025-05</v>
      </c>
    </row>
    <row r="496" spans="1:17" x14ac:dyDescent="0.3">
      <c r="A496" t="s">
        <v>504</v>
      </c>
      <c r="B496" s="2">
        <v>45698</v>
      </c>
      <c r="C496" t="s">
        <v>513</v>
      </c>
      <c r="D496" t="s">
        <v>517</v>
      </c>
      <c r="E496">
        <v>6811.42</v>
      </c>
      <c r="F496">
        <v>5460.9</v>
      </c>
      <c r="G496">
        <v>73610</v>
      </c>
      <c r="H496">
        <v>2346</v>
      </c>
      <c r="I496">
        <v>170</v>
      </c>
      <c r="J496">
        <v>5055.3900000000003</v>
      </c>
      <c r="K496">
        <f t="shared" si="49"/>
        <v>3.1870669745958431E-2</v>
      </c>
      <c r="L496">
        <f t="shared" si="50"/>
        <v>2.3277493606138107</v>
      </c>
      <c r="M496">
        <f t="shared" si="51"/>
        <v>32.122941176470583</v>
      </c>
      <c r="N496">
        <f t="shared" si="52"/>
        <v>0.92574300939405607</v>
      </c>
      <c r="O496">
        <f t="shared" si="53"/>
        <v>-405.50999999999931</v>
      </c>
      <c r="P496">
        <f t="shared" si="54"/>
        <v>-8.0213395999121584</v>
      </c>
      <c r="Q496" s="4" t="str">
        <f t="shared" si="55"/>
        <v>2025-02</v>
      </c>
    </row>
    <row r="497" spans="1:17" x14ac:dyDescent="0.3">
      <c r="A497" t="s">
        <v>505</v>
      </c>
      <c r="B497" s="2">
        <v>45667</v>
      </c>
      <c r="C497" t="s">
        <v>513</v>
      </c>
      <c r="D497" t="s">
        <v>518</v>
      </c>
      <c r="E497">
        <v>5565.23</v>
      </c>
      <c r="F497">
        <v>5113.62</v>
      </c>
      <c r="G497">
        <v>67169</v>
      </c>
      <c r="H497">
        <v>1577</v>
      </c>
      <c r="I497">
        <v>305</v>
      </c>
      <c r="J497">
        <v>12463.52</v>
      </c>
      <c r="K497">
        <f t="shared" si="49"/>
        <v>2.3478092572466466E-2</v>
      </c>
      <c r="L497">
        <f t="shared" si="50"/>
        <v>3.2426252377932783</v>
      </c>
      <c r="M497">
        <f t="shared" si="51"/>
        <v>16.765967213114752</v>
      </c>
      <c r="N497">
        <f t="shared" si="52"/>
        <v>2.437318377196585</v>
      </c>
      <c r="O497">
        <f t="shared" si="53"/>
        <v>7349.9000000000005</v>
      </c>
      <c r="P497">
        <f t="shared" si="54"/>
        <v>58.971301847311196</v>
      </c>
      <c r="Q497" s="4" t="str">
        <f t="shared" si="55"/>
        <v>2025-01</v>
      </c>
    </row>
    <row r="498" spans="1:17" x14ac:dyDescent="0.3">
      <c r="A498" t="s">
        <v>506</v>
      </c>
      <c r="B498" s="2">
        <v>45699</v>
      </c>
      <c r="C498" t="s">
        <v>514</v>
      </c>
      <c r="D498" t="s">
        <v>517</v>
      </c>
      <c r="E498">
        <v>5719.91</v>
      </c>
      <c r="F498">
        <v>5345.87</v>
      </c>
      <c r="G498">
        <v>152621</v>
      </c>
      <c r="H498">
        <v>2741</v>
      </c>
      <c r="I498">
        <v>345</v>
      </c>
      <c r="J498">
        <v>9358.58</v>
      </c>
      <c r="K498">
        <f t="shared" si="49"/>
        <v>1.7959520642637644E-2</v>
      </c>
      <c r="L498">
        <f t="shared" si="50"/>
        <v>1.9503356439255746</v>
      </c>
      <c r="M498">
        <f t="shared" si="51"/>
        <v>15.495275362318841</v>
      </c>
      <c r="N498">
        <f t="shared" si="52"/>
        <v>1.750618701913814</v>
      </c>
      <c r="O498">
        <f t="shared" si="53"/>
        <v>4012.71</v>
      </c>
      <c r="P498">
        <f t="shared" si="54"/>
        <v>42.8773382286629</v>
      </c>
      <c r="Q498" s="4" t="str">
        <f t="shared" si="55"/>
        <v>2025-02</v>
      </c>
    </row>
    <row r="499" spans="1:17" x14ac:dyDescent="0.3">
      <c r="A499" t="s">
        <v>507</v>
      </c>
      <c r="B499" s="2">
        <v>45636</v>
      </c>
      <c r="C499" t="s">
        <v>511</v>
      </c>
      <c r="D499" t="s">
        <v>515</v>
      </c>
      <c r="E499">
        <v>5612.76</v>
      </c>
      <c r="F499">
        <v>4872.8900000000003</v>
      </c>
      <c r="G499">
        <v>107940</v>
      </c>
      <c r="H499">
        <v>2915</v>
      </c>
      <c r="I499">
        <v>150</v>
      </c>
      <c r="J499">
        <v>3329.38</v>
      </c>
      <c r="K499">
        <f t="shared" si="49"/>
        <v>2.7005743931813972E-2</v>
      </c>
      <c r="L499">
        <f t="shared" si="50"/>
        <v>1.6716603773584906</v>
      </c>
      <c r="M499">
        <f t="shared" si="51"/>
        <v>32.485933333333335</v>
      </c>
      <c r="N499">
        <f t="shared" si="52"/>
        <v>0.68324546624282512</v>
      </c>
      <c r="O499">
        <f t="shared" si="53"/>
        <v>-1543.5100000000002</v>
      </c>
      <c r="P499">
        <f t="shared" si="54"/>
        <v>-46.360283295989049</v>
      </c>
      <c r="Q499" s="4" t="str">
        <f t="shared" si="55"/>
        <v>2024-12</v>
      </c>
    </row>
    <row r="500" spans="1:17" x14ac:dyDescent="0.3">
      <c r="A500" t="s">
        <v>508</v>
      </c>
      <c r="B500" s="2">
        <v>45779</v>
      </c>
      <c r="C500" t="s">
        <v>512</v>
      </c>
      <c r="D500" t="s">
        <v>516</v>
      </c>
      <c r="E500">
        <v>7224.14</v>
      </c>
      <c r="F500">
        <v>7227.49</v>
      </c>
      <c r="G500">
        <v>68836</v>
      </c>
      <c r="H500">
        <v>3169</v>
      </c>
      <c r="I500">
        <v>620</v>
      </c>
      <c r="J500">
        <v>23922.52</v>
      </c>
      <c r="K500">
        <f t="shared" si="49"/>
        <v>4.6036957406008487E-2</v>
      </c>
      <c r="L500">
        <f t="shared" si="50"/>
        <v>2.2806847585989272</v>
      </c>
      <c r="M500">
        <f t="shared" si="51"/>
        <v>11.657241935483871</v>
      </c>
      <c r="N500">
        <f t="shared" si="52"/>
        <v>3.3099347076232553</v>
      </c>
      <c r="O500">
        <f t="shared" si="53"/>
        <v>16695.03</v>
      </c>
      <c r="P500">
        <f t="shared" si="54"/>
        <v>69.787923680281168</v>
      </c>
      <c r="Q500" s="4" t="str">
        <f t="shared" si="55"/>
        <v>2025-05</v>
      </c>
    </row>
    <row r="501" spans="1:17" x14ac:dyDescent="0.3">
      <c r="A501" t="s">
        <v>509</v>
      </c>
      <c r="B501" s="2">
        <v>45771</v>
      </c>
      <c r="C501" t="s">
        <v>513</v>
      </c>
      <c r="D501" t="s">
        <v>515</v>
      </c>
      <c r="E501">
        <v>6244.46</v>
      </c>
      <c r="F501">
        <v>5707.04</v>
      </c>
      <c r="G501">
        <v>140338</v>
      </c>
      <c r="H501">
        <v>5296</v>
      </c>
      <c r="I501">
        <v>294</v>
      </c>
      <c r="J501">
        <v>13494.6</v>
      </c>
      <c r="K501">
        <f t="shared" si="49"/>
        <v>3.773746241217632E-2</v>
      </c>
      <c r="L501">
        <f t="shared" si="50"/>
        <v>1.0776132930513596</v>
      </c>
      <c r="M501">
        <f t="shared" si="51"/>
        <v>19.411700680272109</v>
      </c>
      <c r="N501">
        <f t="shared" si="52"/>
        <v>2.3645532535254703</v>
      </c>
      <c r="O501">
        <f t="shared" si="53"/>
        <v>7787.56</v>
      </c>
      <c r="P501">
        <f t="shared" si="54"/>
        <v>57.708713114875579</v>
      </c>
      <c r="Q501" s="4" t="str">
        <f t="shared" si="55"/>
        <v>2025-04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1DEA-76A8-4E12-ADDE-1F0F991FA889}">
  <dimension ref="F2:P33"/>
  <sheetViews>
    <sheetView showGridLines="0" showRowColHeaders="0" tabSelected="1" zoomScale="84" zoomScaleNormal="99" workbookViewId="0">
      <selection activeCell="AB30" sqref="AB30"/>
    </sheetView>
  </sheetViews>
  <sheetFormatPr defaultRowHeight="14.4" x14ac:dyDescent="0.3"/>
  <cols>
    <col min="1" max="16384" width="8.88671875" style="10"/>
  </cols>
  <sheetData>
    <row r="2" spans="6:9" ht="37.200000000000003" x14ac:dyDescent="0.6">
      <c r="F2" s="9" t="s">
        <v>535</v>
      </c>
    </row>
    <row r="3" spans="6:9" ht="37.799999999999997" x14ac:dyDescent="0.65">
      <c r="I3" s="11"/>
    </row>
    <row r="33" spans="16:16" x14ac:dyDescent="0.3">
      <c r="P33" s="10" t="s">
        <v>536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SYED MUSKAN</cp:lastModifiedBy>
  <dcterms:created xsi:type="dcterms:W3CDTF">2025-06-11T15:04:22Z</dcterms:created>
  <dcterms:modified xsi:type="dcterms:W3CDTF">2026-10-03T15:28:54Z</dcterms:modified>
</cp:coreProperties>
</file>